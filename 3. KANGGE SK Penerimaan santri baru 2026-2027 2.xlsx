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F:\1. Tata Usaha Al Andalus Ulul Al-Baab\Surat dan jenis surat\New folder\"/>
    </mc:Choice>
  </mc:AlternateContent>
  <xr:revisionPtr revIDLastSave="0" documentId="13_ncr:1_{A342C6AD-1960-47C3-82D0-1BFEBE773E57}" xr6:coauthVersionLast="45" xr6:coauthVersionMax="47" xr10:uidLastSave="{00000000-0000-0000-0000-000000000000}"/>
  <bookViews>
    <workbookView xWindow="-120" yWindow="-120" windowWidth="20730" windowHeight="11160" tabRatio="770" activeTab="4" xr2:uid="{00000000-000D-0000-FFFF-FFFF00000000}"/>
  </bookViews>
  <sheets>
    <sheet name="SK Penerimaan Santri" sheetId="3" r:id="rId1"/>
    <sheet name="MTs Putra" sheetId="5" r:id="rId2"/>
    <sheet name="MTs Putri" sheetId="6" r:id="rId3"/>
    <sheet name="IL Putra" sheetId="7" r:id="rId4"/>
    <sheet name="IL Putri" sheetId="8" r:id="rId5"/>
    <sheet name="Jumlah" sheetId="9" r:id="rId6"/>
  </sheets>
  <definedNames>
    <definedName name="_xlnm._FilterDatabase" localSheetId="0" hidden="1">'SK Penerimaan Santri'!$A$1:$P$136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9" l="1"/>
  <c r="C6" i="9"/>
  <c r="C5" i="9"/>
  <c r="C16" i="8"/>
  <c r="C30" i="7"/>
  <c r="C31" i="6"/>
  <c r="C51" i="5"/>
  <c r="C4" i="9"/>
  <c r="C9" i="9" l="1"/>
  <c r="I136" i="3"/>
  <c r="G136" i="3"/>
  <c r="I135" i="3" l="1"/>
  <c r="I134" i="3"/>
  <c r="I133" i="3"/>
  <c r="I132" i="3"/>
  <c r="G132" i="3"/>
  <c r="G133" i="3"/>
  <c r="G134" i="3"/>
  <c r="G135" i="3"/>
  <c r="G121" i="3" l="1"/>
  <c r="G122" i="3"/>
  <c r="I121" i="3"/>
  <c r="I122" i="3"/>
  <c r="I123" i="3"/>
  <c r="I124" i="3"/>
  <c r="I125" i="3"/>
  <c r="I126" i="3"/>
  <c r="I127" i="3"/>
  <c r="I128" i="3"/>
  <c r="I129" i="3"/>
  <c r="I130" i="3"/>
  <c r="I131" i="3"/>
  <c r="G124" i="3" l="1"/>
  <c r="G92" i="3" l="1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4" i="3"/>
  <c r="G115" i="3"/>
  <c r="G116" i="3"/>
  <c r="G117" i="3"/>
  <c r="G118" i="3"/>
  <c r="G119" i="3"/>
  <c r="G120" i="3"/>
  <c r="G123" i="3"/>
  <c r="G125" i="3"/>
  <c r="G126" i="3"/>
  <c r="G127" i="3"/>
  <c r="G128" i="3"/>
  <c r="G129" i="3"/>
  <c r="G130" i="3"/>
  <c r="G131" i="3"/>
  <c r="I93" i="3" l="1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4" i="3"/>
  <c r="I115" i="3"/>
  <c r="I116" i="3"/>
  <c r="I117" i="3"/>
  <c r="I118" i="3"/>
  <c r="I119" i="3"/>
  <c r="I120" i="3"/>
  <c r="I92" i="3"/>
  <c r="E91" i="3" l="1"/>
  <c r="F91" i="3"/>
  <c r="G91" i="3" s="1"/>
  <c r="H91" i="3"/>
  <c r="J91" i="3"/>
  <c r="K91" i="3"/>
  <c r="L91" i="3"/>
  <c r="M91" i="3"/>
  <c r="N91" i="3"/>
  <c r="E90" i="3"/>
  <c r="F90" i="3"/>
  <c r="G90" i="3" s="1"/>
  <c r="H90" i="3"/>
  <c r="J90" i="3"/>
  <c r="K90" i="3"/>
  <c r="L90" i="3"/>
  <c r="M90" i="3"/>
  <c r="N90" i="3"/>
  <c r="E88" i="3"/>
  <c r="F88" i="3"/>
  <c r="G88" i="3" s="1"/>
  <c r="H88" i="3"/>
  <c r="J88" i="3"/>
  <c r="K88" i="3"/>
  <c r="L88" i="3"/>
  <c r="M88" i="3"/>
  <c r="N88" i="3"/>
  <c r="E89" i="3"/>
  <c r="F89" i="3"/>
  <c r="G89" i="3" s="1"/>
  <c r="H89" i="3"/>
  <c r="J89" i="3"/>
  <c r="K89" i="3"/>
  <c r="L89" i="3"/>
  <c r="M89" i="3"/>
  <c r="N89" i="3"/>
  <c r="E87" i="3"/>
  <c r="F87" i="3"/>
  <c r="G87" i="3" s="1"/>
  <c r="H87" i="3"/>
  <c r="J87" i="3"/>
  <c r="K87" i="3"/>
  <c r="L87" i="3"/>
  <c r="M87" i="3"/>
  <c r="N87" i="3"/>
  <c r="E86" i="3"/>
  <c r="F86" i="3"/>
  <c r="G86" i="3" s="1"/>
  <c r="H86" i="3"/>
  <c r="J86" i="3"/>
  <c r="K86" i="3"/>
  <c r="L86" i="3"/>
  <c r="M86" i="3"/>
  <c r="N86" i="3"/>
  <c r="G85" i="3" l="1"/>
  <c r="G84" i="3"/>
  <c r="G83" i="3"/>
  <c r="G82" i="3"/>
  <c r="G81" i="3"/>
  <c r="G74" i="3" l="1"/>
  <c r="G75" i="3"/>
  <c r="G76" i="3"/>
  <c r="G77" i="3"/>
  <c r="G78" i="3"/>
  <c r="G79" i="3"/>
  <c r="G80" i="3"/>
  <c r="G71" i="3" l="1"/>
  <c r="G72" i="3"/>
  <c r="G73" i="3"/>
  <c r="G65" i="3" l="1"/>
  <c r="G66" i="3"/>
  <c r="G68" i="3"/>
  <c r="G69" i="3"/>
  <c r="G70" i="3"/>
  <c r="G58" i="3" l="1"/>
  <c r="G57" i="3" l="1"/>
  <c r="G56" i="3"/>
  <c r="G55" i="3"/>
  <c r="G59" i="3"/>
  <c r="G60" i="3"/>
  <c r="G61" i="3"/>
  <c r="G62" i="3"/>
  <c r="G63" i="3"/>
  <c r="G64" i="3"/>
  <c r="G54" i="3"/>
  <c r="G53" i="3"/>
  <c r="G52" i="3" l="1"/>
  <c r="G49" i="3" l="1"/>
  <c r="G44" i="3" l="1"/>
  <c r="G45" i="3"/>
  <c r="G46" i="3"/>
  <c r="G47" i="3"/>
  <c r="G48" i="3"/>
  <c r="G50" i="3"/>
  <c r="G51" i="3"/>
  <c r="G43" i="3" l="1"/>
  <c r="G42" i="3"/>
  <c r="G41" i="3"/>
  <c r="G40" i="3" l="1"/>
  <c r="G39" i="3" l="1"/>
</calcChain>
</file>

<file path=xl/sharedStrings.xml><?xml version="1.0" encoding="utf-8"?>
<sst xmlns="http://schemas.openxmlformats.org/spreadsheetml/2006/main" count="1708" uniqueCount="354">
  <si>
    <t>No</t>
  </si>
  <si>
    <t>No. Surt</t>
  </si>
  <si>
    <t>Kode</t>
  </si>
  <si>
    <t>A</t>
  </si>
  <si>
    <t>C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</si>
  <si>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</si>
  <si>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</si>
  <si>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</si>
  <si>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</si>
  <si>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</si>
  <si>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</si>
  <si>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</si>
  <si>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</si>
  <si>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</si>
  <si>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</si>
  <si>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</si>
  <si>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</si>
  <si>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</si>
  <si>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</si>
  <si>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</si>
  <si>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</si>
  <si>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</si>
  <si>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</si>
  <si>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</si>
  <si>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</si>
  <si>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</si>
  <si>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</si>
  <si>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</si>
  <si>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</si>
  <si>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No. Pendaftar</t>
  </si>
  <si>
    <t>Nama Lengkap</t>
  </si>
  <si>
    <t>031</t>
  </si>
  <si>
    <t>HILDA SAHLANNISA</t>
  </si>
  <si>
    <r>
      <rPr>
        <sz val="12"/>
        <rFont val="Arial MT"/>
        <family val="2"/>
      </rPr>
      <t>Jenjang</t>
    </r>
  </si>
  <si>
    <r>
      <rPr>
        <sz val="12"/>
        <rFont val="Arial MT"/>
        <family val="2"/>
      </rPr>
      <t>Al-Quran</t>
    </r>
  </si>
  <si>
    <r>
      <rPr>
        <sz val="12"/>
        <rFont val="Arial MT"/>
        <family val="2"/>
      </rPr>
      <t>Akademik</t>
    </r>
  </si>
  <si>
    <r>
      <rPr>
        <sz val="12"/>
        <rFont val="Arial MT"/>
        <family val="2"/>
      </rPr>
      <t>Kepribadian</t>
    </r>
  </si>
  <si>
    <r>
      <rPr>
        <sz val="12"/>
        <rFont val="Arial MT"/>
        <family val="2"/>
      </rPr>
      <t>Kesesuaian</t>
    </r>
  </si>
  <si>
    <r>
      <rPr>
        <sz val="12"/>
        <rFont val="Arial MT"/>
        <family val="2"/>
      </rPr>
      <t>MTs Putra</t>
    </r>
  </si>
  <si>
    <r>
      <rPr>
        <sz val="12"/>
        <rFont val="Arial MT"/>
        <family val="2"/>
      </rPr>
      <t>A</t>
    </r>
  </si>
  <si>
    <r>
      <rPr>
        <sz val="12"/>
        <rFont val="Arial MT"/>
        <family val="2"/>
      </rPr>
      <t>B</t>
    </r>
  </si>
  <si>
    <r>
      <rPr>
        <sz val="12"/>
        <rFont val="Arial MT"/>
        <family val="2"/>
      </rPr>
      <t>MTs Putri</t>
    </r>
  </si>
  <si>
    <r>
      <rPr>
        <sz val="12"/>
        <rFont val="Arial MT"/>
        <family val="2"/>
      </rPr>
      <t>IL Putra</t>
    </r>
  </si>
  <si>
    <r>
      <rPr>
        <sz val="12"/>
        <rFont val="Arial MT"/>
        <family val="2"/>
      </rPr>
      <t>IL Putri</t>
    </r>
  </si>
  <si>
    <t>KEYZA QAIREEN</t>
  </si>
  <si>
    <t>AINA SYAHMINA GIVANI</t>
  </si>
  <si>
    <t>AISYAH</t>
  </si>
  <si>
    <t>ABU REIHAN AL FAJRI</t>
  </si>
  <si>
    <t>ADIBAH SAEFULLOH</t>
  </si>
  <si>
    <t>MUHAMAD UMAR ALI</t>
  </si>
  <si>
    <t>HANEEF ABDURAHMAN</t>
  </si>
  <si>
    <t>KSATRIA HUDZAIFAH AL MIZZI</t>
  </si>
  <si>
    <t>MUHAMMAD HILMY ILYASA RIZAL</t>
  </si>
  <si>
    <t>NAHNURIZKO NABHAN FARGHALI</t>
  </si>
  <si>
    <t>HANIFAH QURROTUL ’AIN</t>
  </si>
  <si>
    <t>MUHAMMAD HANIF ASH SHIDDIQ</t>
  </si>
  <si>
    <t>SULTHAN FAQIH AL HADZIQ</t>
  </si>
  <si>
    <t>DAFFA TAAMIR ALFARIZI</t>
  </si>
  <si>
    <t>D250015</t>
  </si>
  <si>
    <t>SARAH AFIFA</t>
  </si>
  <si>
    <t>E250001</t>
  </si>
  <si>
    <t>IL Putri</t>
  </si>
  <si>
    <t>B250021</t>
  </si>
  <si>
    <t>IL Putra</t>
  </si>
  <si>
    <t>A250037</t>
  </si>
  <si>
    <t>MTs Putra</t>
  </si>
  <si>
    <t>B250003</t>
  </si>
  <si>
    <t>A250058</t>
  </si>
  <si>
    <t>B250004</t>
  </si>
  <si>
    <t>WIDYA MEILANI ZAHRA</t>
  </si>
  <si>
    <t>KEANU AZKA WIBOWO</t>
  </si>
  <si>
    <t>MUHAMMAD ARKAN</t>
  </si>
  <si>
    <t xml:space="preserve">IHSAN ABDUL HAKIM </t>
  </si>
  <si>
    <t xml:space="preserve">YAHYA AZKA YA'SUB </t>
  </si>
  <si>
    <t xml:space="preserve">HAFIZH ABDURRAHMAN </t>
  </si>
  <si>
    <t>B250009</t>
  </si>
  <si>
    <t>AZKA ULINNUHA</t>
  </si>
  <si>
    <t>Titi mangsa surat</t>
  </si>
  <si>
    <t>09 Oktober 2025</t>
  </si>
  <si>
    <t>04 Oktober 2025</t>
  </si>
  <si>
    <t>07 Oktober 2025</t>
  </si>
  <si>
    <t>A250010</t>
  </si>
  <si>
    <t>A250028</t>
  </si>
  <si>
    <t>A250034</t>
  </si>
  <si>
    <t>B250005</t>
  </si>
  <si>
    <t>E250005</t>
  </si>
  <si>
    <t>SITI HAFSHOH SHOLIHAH</t>
  </si>
  <si>
    <t>E250007</t>
  </si>
  <si>
    <t>NADIRA SALSABILA APRILIANI</t>
  </si>
  <si>
    <t>MUHAMMAD ASYAM ABDULLAH</t>
  </si>
  <si>
    <t>SATRIA PANCA DESMARA</t>
  </si>
  <si>
    <t>ABUDZAR AL MAHBUB</t>
  </si>
  <si>
    <t>RAIHAN FARZIN</t>
  </si>
  <si>
    <t>kode 2</t>
  </si>
  <si>
    <t>D250007</t>
  </si>
  <si>
    <t>SITI AZIZAH</t>
  </si>
  <si>
    <t>10 Oktober 2025</t>
  </si>
  <si>
    <t>D250026</t>
  </si>
  <si>
    <t>MTs Putri</t>
  </si>
  <si>
    <t>GRANADA KHANSA EL QIBTIYA</t>
  </si>
  <si>
    <t>D250008</t>
  </si>
  <si>
    <t>SHAKIRA NUR AISYAH</t>
  </si>
  <si>
    <t>D250004</t>
  </si>
  <si>
    <t>JANEETA CANDY HINATA</t>
  </si>
  <si>
    <t>D250011</t>
  </si>
  <si>
    <t>D250019</t>
  </si>
  <si>
    <t>A250072</t>
  </si>
  <si>
    <t>A250032</t>
  </si>
  <si>
    <t>11 Oktober 2025</t>
  </si>
  <si>
    <t>ALESHA AZ ZAHRA SAPUTRA</t>
  </si>
  <si>
    <t>MARYAM AL-KAYYISAH</t>
  </si>
  <si>
    <t>SATRIA IBRAHIM TAMAOKI</t>
  </si>
  <si>
    <t>ARTKA HASBINA AZHUARY</t>
  </si>
  <si>
    <t>A250002</t>
  </si>
  <si>
    <t>Umar fawwaz</t>
  </si>
  <si>
    <t>Upper Nama</t>
  </si>
  <si>
    <t>A250033</t>
  </si>
  <si>
    <t>AZKA KHAIRUL ICHSAN HASUGIANA</t>
  </si>
  <si>
    <t>13 Oktober 2025</t>
  </si>
  <si>
    <t>E250003</t>
  </si>
  <si>
    <t>NISRINA QURROTA AINI</t>
  </si>
  <si>
    <t>Farhan ibadurrohman</t>
  </si>
  <si>
    <t>B250018</t>
  </si>
  <si>
    <t>A250005</t>
  </si>
  <si>
    <t>Muhammad Raihan Alfawwaz</t>
  </si>
  <si>
    <t>A250054</t>
  </si>
  <si>
    <t>Muhammad Al-Fatih Fadhly</t>
  </si>
  <si>
    <t>D250027</t>
  </si>
  <si>
    <t>Ulfia Nurfauziah</t>
  </si>
  <si>
    <t>D250010</t>
  </si>
  <si>
    <t>Siti Fatimah Azzahra</t>
  </si>
  <si>
    <t>E250008</t>
  </si>
  <si>
    <t>Siti Arafah</t>
  </si>
  <si>
    <t>E250004</t>
  </si>
  <si>
    <t>adinda humaira</t>
  </si>
  <si>
    <t>A250015</t>
  </si>
  <si>
    <t>ARRAYYAN ABDUR RASHID</t>
  </si>
  <si>
    <t>D250022</t>
  </si>
  <si>
    <t>Hanifah azahra putri</t>
  </si>
  <si>
    <t>D250001</t>
  </si>
  <si>
    <t>Qisya Rahma Kamila</t>
  </si>
  <si>
    <t>15 Okober 2025</t>
  </si>
  <si>
    <t>A250017</t>
  </si>
  <si>
    <t>Akhdan Azkiya Mahdy</t>
  </si>
  <si>
    <t>D250017</t>
  </si>
  <si>
    <t>Qaesyara Siti Zafna Fitriyadi</t>
  </si>
  <si>
    <t>18 Oktober 2025</t>
  </si>
  <si>
    <t>20 Oktober 2025</t>
  </si>
  <si>
    <t>A250016</t>
  </si>
  <si>
    <t>Faeyza Izzatul Khairy</t>
  </si>
  <si>
    <t>D250024</t>
  </si>
  <si>
    <t>Hana Dwi Rinjani</t>
  </si>
  <si>
    <t>B250024</t>
  </si>
  <si>
    <t>Ahadan Nazka Harits</t>
  </si>
  <si>
    <t>A250051</t>
  </si>
  <si>
    <t>Khalid Muhammad Affiq</t>
  </si>
  <si>
    <t>C250004</t>
  </si>
  <si>
    <t>abdurraman umar</t>
  </si>
  <si>
    <t>C250009</t>
  </si>
  <si>
    <t>nizar</t>
  </si>
  <si>
    <t>C250014</t>
  </si>
  <si>
    <t>Adhyasta widyadhana</t>
  </si>
  <si>
    <t>24 Oktober 2025</t>
  </si>
  <si>
    <t>C250020</t>
  </si>
  <si>
    <t>ALIFADHILAH IRHAB HAUZAN</t>
  </si>
  <si>
    <t>Kelas</t>
  </si>
  <si>
    <t>VII</t>
  </si>
  <si>
    <t>A250018</t>
  </si>
  <si>
    <t>Muhamad Usman Ali</t>
  </si>
  <si>
    <t>WA dari Ustad Abah</t>
  </si>
  <si>
    <t>A250003</t>
  </si>
  <si>
    <t>PUTRA PERDANA</t>
  </si>
  <si>
    <t>A250019</t>
  </si>
  <si>
    <t>Fatih kenzie dzulian anado</t>
  </si>
  <si>
    <t>Shafwan Iyadh Addarimy</t>
  </si>
  <si>
    <t>A250024</t>
  </si>
  <si>
    <t>Eshan Kazim</t>
  </si>
  <si>
    <t>A250074</t>
  </si>
  <si>
    <t>Rizkia Aulia Az zahra</t>
  </si>
  <si>
    <t>D250013</t>
  </si>
  <si>
    <t>Syahira Zahratul Islam</t>
  </si>
  <si>
    <t>D250018</t>
  </si>
  <si>
    <t>Alika Aisyah Putri</t>
  </si>
  <si>
    <t>D250021</t>
  </si>
  <si>
    <t>06 November 2025</t>
  </si>
  <si>
    <t>C250003</t>
  </si>
  <si>
    <t>Hibban Hibaturrahman</t>
  </si>
  <si>
    <t>C250019</t>
  </si>
  <si>
    <t>Muhammad Al Fathih</t>
  </si>
  <si>
    <t>C250016</t>
  </si>
  <si>
    <t>FATHAN SYAHRIL SUSENO</t>
  </si>
  <si>
    <t>C250023</t>
  </si>
  <si>
    <t>Muhammad irsyad</t>
  </si>
  <si>
    <t>C250018</t>
  </si>
  <si>
    <t>Kamil Iskandar</t>
  </si>
  <si>
    <t>C250010</t>
  </si>
  <si>
    <t>MUHAMMAD HILMAN ALFARISI</t>
  </si>
  <si>
    <t>11 November 2025</t>
  </si>
  <si>
    <r>
      <rPr>
        <sz val="12"/>
        <rFont val="Arial MT"/>
        <family val="2"/>
      </rPr>
      <t>A250008</t>
    </r>
  </si>
  <si>
    <r>
      <rPr>
        <sz val="12"/>
        <rFont val="Arial MT"/>
        <family val="2"/>
      </rPr>
      <t>D250009</t>
    </r>
  </si>
  <si>
    <r>
      <rPr>
        <sz val="12"/>
        <rFont val="Arial MT"/>
        <family val="2"/>
      </rPr>
      <t>D250006</t>
    </r>
  </si>
  <si>
    <r>
      <rPr>
        <sz val="12"/>
        <rFont val="Arial MT"/>
        <family val="2"/>
      </rPr>
      <t>D250005</t>
    </r>
  </si>
  <si>
    <r>
      <rPr>
        <sz val="12"/>
        <rFont val="Arial MT"/>
        <family val="2"/>
      </rPr>
      <t>A250025</t>
    </r>
  </si>
  <si>
    <r>
      <rPr>
        <sz val="12"/>
        <rFont val="Arial MT"/>
        <family val="2"/>
      </rPr>
      <t>D250003</t>
    </r>
  </si>
  <si>
    <r>
      <rPr>
        <sz val="12"/>
        <rFont val="Arial MT"/>
        <family val="2"/>
      </rPr>
      <t>A250020</t>
    </r>
  </si>
  <si>
    <r>
      <rPr>
        <sz val="12"/>
        <rFont val="Arial MT"/>
        <family val="2"/>
      </rPr>
      <t>A250012</t>
    </r>
  </si>
  <si>
    <r>
      <rPr>
        <sz val="12"/>
        <rFont val="Arial MT"/>
        <family val="2"/>
      </rPr>
      <t>B250010</t>
    </r>
  </si>
  <si>
    <r>
      <rPr>
        <sz val="12"/>
        <rFont val="Arial MT"/>
        <family val="2"/>
      </rPr>
      <t>A250014</t>
    </r>
  </si>
  <si>
    <r>
      <rPr>
        <sz val="12"/>
        <rFont val="Arial MT"/>
        <family val="2"/>
      </rPr>
      <t>A250009</t>
    </r>
  </si>
  <si>
    <r>
      <rPr>
        <sz val="12"/>
        <rFont val="Arial MT"/>
        <family val="2"/>
      </rPr>
      <t>E250002</t>
    </r>
  </si>
  <si>
    <r>
      <rPr>
        <sz val="12"/>
        <rFont val="Arial MT"/>
        <family val="2"/>
      </rPr>
      <t>D250002</t>
    </r>
  </si>
  <si>
    <r>
      <rPr>
        <sz val="12"/>
        <rFont val="Arial MT"/>
        <family val="2"/>
      </rPr>
      <t>A250048</t>
    </r>
  </si>
  <si>
    <r>
      <rPr>
        <sz val="12"/>
        <rFont val="Arial MT"/>
        <family val="2"/>
      </rPr>
      <t>A250046</t>
    </r>
  </si>
  <si>
    <t>Suhail Aiman</t>
  </si>
  <si>
    <t>A250045</t>
  </si>
  <si>
    <t>Abdurrahman</t>
  </si>
  <si>
    <t>A250077</t>
  </si>
  <si>
    <t>Abbas Raihan</t>
  </si>
  <si>
    <t>B250019</t>
  </si>
  <si>
    <t>Bisma adhi saputra</t>
  </si>
  <si>
    <t>B250028</t>
  </si>
  <si>
    <t>adlin ar rihaily</t>
  </si>
  <si>
    <t>D250020</t>
  </si>
  <si>
    <t>Zihan Muzainah Zein</t>
  </si>
  <si>
    <t>D250031</t>
  </si>
  <si>
    <t>Najla ulfa</t>
  </si>
  <si>
    <t>E250009</t>
  </si>
  <si>
    <t>Faruq Ahmad Asy-Syirbuni</t>
  </si>
  <si>
    <t>A250026</t>
  </si>
  <si>
    <t>Ahmad Kamaludi</t>
  </si>
  <si>
    <t>A250030</t>
  </si>
  <si>
    <t>Nidaul Husna</t>
  </si>
  <si>
    <t>F250003</t>
  </si>
  <si>
    <t>Unaysah</t>
  </si>
  <si>
    <t>F250002</t>
  </si>
  <si>
    <t>Naisya Tazqia Qolbi</t>
  </si>
  <si>
    <t>F250001</t>
  </si>
  <si>
    <t>13 November 2025</t>
  </si>
  <si>
    <t>15 November 2025</t>
  </si>
  <si>
    <t>A250031</t>
  </si>
  <si>
    <t>FATAN IHYA AS-SUNNAH</t>
  </si>
  <si>
    <t>A250084</t>
  </si>
  <si>
    <t>Rifqi Fathurrohman</t>
  </si>
  <si>
    <r>
      <rPr>
        <sz val="12"/>
        <rFont val="Arial MT"/>
        <family val="2"/>
      </rPr>
      <t>Kesiapan '</t>
    </r>
  </si>
  <si>
    <t>A250066</t>
  </si>
  <si>
    <t>Ambia Addaruqutni Julpasa</t>
  </si>
  <si>
    <t>A250055</t>
  </si>
  <si>
    <t>Kafie Arkan Rafiqi</t>
  </si>
  <si>
    <t>A250023</t>
  </si>
  <si>
    <t>NOUVALLDY FARZANI PRAYOGA</t>
  </si>
  <si>
    <t>A250053</t>
  </si>
  <si>
    <t>Muhammad Kamil Athaillah Rizki</t>
  </si>
  <si>
    <t>A250038</t>
  </si>
  <si>
    <t>M. Rezza Putra Darma</t>
  </si>
  <si>
    <t>B250006</t>
  </si>
  <si>
    <t>Rezvan Zhian Agusto</t>
  </si>
  <si>
    <t>B250014</t>
  </si>
  <si>
    <t>FAIZ ABDUSSALAM TASLIM BUDIDOYO</t>
  </si>
  <si>
    <t>A250040</t>
  </si>
  <si>
    <t>Riyadi wirawan</t>
  </si>
  <si>
    <t>A250041</t>
  </si>
  <si>
    <t>SULTHON ABRISAM KARIM</t>
  </si>
  <si>
    <t>A250071</t>
  </si>
  <si>
    <t>RUWAIFI</t>
  </si>
  <si>
    <t>A250011</t>
  </si>
  <si>
    <t>Fathi Fahlevi Fahmi</t>
  </si>
  <si>
    <t>A250021</t>
  </si>
  <si>
    <t>Malka Firdaus Syarif</t>
  </si>
  <si>
    <t>B250001</t>
  </si>
  <si>
    <t>Donli Caesar Norton</t>
  </si>
  <si>
    <t>A250027</t>
  </si>
  <si>
    <t>Umar</t>
  </si>
  <si>
    <t>A250061</t>
  </si>
  <si>
    <t>Muhammad nizar</t>
  </si>
  <si>
    <t>D250012</t>
  </si>
  <si>
    <t>anastasya putri</t>
  </si>
  <si>
    <t>B250013</t>
  </si>
  <si>
    <t>Abdurrahman hafizh ayyasi</t>
  </si>
  <si>
    <t>B250012</t>
  </si>
  <si>
    <t>salman alfarizi alamsyah</t>
  </si>
  <si>
    <t>E250006</t>
  </si>
  <si>
    <t>Azkia Salsabila</t>
  </si>
  <si>
    <t>A250057</t>
  </si>
  <si>
    <t>Hamzah aqil</t>
  </si>
  <si>
    <t>A250022</t>
  </si>
  <si>
    <t>Arjuna Permana putra</t>
  </si>
  <si>
    <t>B250011</t>
  </si>
  <si>
    <t>Muhammad risky shapin</t>
  </si>
  <si>
    <t>A250036</t>
  </si>
  <si>
    <t>Khotibul syafiiq</t>
  </si>
  <si>
    <t>B250008</t>
  </si>
  <si>
    <t>Mizan alghifary dizlilar</t>
  </si>
  <si>
    <t>D250023</t>
  </si>
  <si>
    <t>Aisha Alifa Noor Attarini</t>
  </si>
  <si>
    <t>B250016</t>
  </si>
  <si>
    <t>Muhammad Naufal Rafif Athallah</t>
  </si>
  <si>
    <t>A250069</t>
  </si>
  <si>
    <t>Muhammad Syauqi Abdul Haq</t>
  </si>
  <si>
    <t>A250056</t>
  </si>
  <si>
    <t>Abdurrahman Dihyah Arrobi</t>
  </si>
  <si>
    <t>Telpm untk konfirmasi</t>
  </si>
  <si>
    <t>C250021</t>
  </si>
  <si>
    <t>Aditya Afhan Dhiyaulhaq Ilham</t>
  </si>
  <si>
    <t>B250029</t>
  </si>
  <si>
    <t>Naufal Taqqy hafifurrahman</t>
  </si>
  <si>
    <t>C250025</t>
  </si>
  <si>
    <t>AL RAFFI HAFIZH IRHAM ZAKARIA</t>
  </si>
  <si>
    <t>C250013</t>
  </si>
  <si>
    <t>Muhammad ghaza</t>
  </si>
  <si>
    <t>C250022</t>
  </si>
  <si>
    <t>Khubaib Abdul Aziz</t>
  </si>
  <si>
    <t>C250024</t>
  </si>
  <si>
    <t>ANANDA HEZKY FAYEZA</t>
  </si>
  <si>
    <t>18 November 2025</t>
  </si>
  <si>
    <t>A250073</t>
  </si>
  <si>
    <t>Ahmad vickhy wijaya</t>
  </si>
  <si>
    <t>A250062</t>
  </si>
  <si>
    <t>Muhamad Hamudi alfariji</t>
  </si>
  <si>
    <t>Akamsi</t>
  </si>
  <si>
    <t>D250035</t>
  </si>
  <si>
    <t>Naisya Ashadiya Rusli</t>
  </si>
  <si>
    <t>D250034</t>
  </si>
  <si>
    <t xml:space="preserve">Aisha Salma Mutmainnah </t>
  </si>
  <si>
    <t>E250010</t>
  </si>
  <si>
    <t xml:space="preserve">Nada Faizah Muttaqiyah </t>
  </si>
  <si>
    <t>D250033</t>
  </si>
  <si>
    <t>Kimora amanda putri</t>
  </si>
  <si>
    <t>10 Desember 2025</t>
  </si>
  <si>
    <t>D250036</t>
  </si>
  <si>
    <t>Ratu rafifa putri mulyana</t>
  </si>
  <si>
    <t>27 Januari 2026</t>
  </si>
  <si>
    <t>A250008</t>
  </si>
  <si>
    <t>E250002</t>
  </si>
  <si>
    <t>B250010</t>
  </si>
  <si>
    <t>D250009</t>
  </si>
  <si>
    <t>D250006</t>
  </si>
  <si>
    <t>D250005</t>
  </si>
  <si>
    <t>D250003</t>
  </si>
  <si>
    <t>D250002</t>
  </si>
  <si>
    <t>A250025</t>
  </si>
  <si>
    <t>A250020</t>
  </si>
  <si>
    <t>A250012</t>
  </si>
  <si>
    <t>A250014</t>
  </si>
  <si>
    <t>A250009</t>
  </si>
  <si>
    <t>A250048</t>
  </si>
  <si>
    <t>A250046</t>
  </si>
  <si>
    <t>NP</t>
  </si>
  <si>
    <t>Nama</t>
  </si>
  <si>
    <t>Jenjang</t>
  </si>
  <si>
    <t xml:space="preserve">Jumlah </t>
  </si>
  <si>
    <t>MTS Putra</t>
  </si>
  <si>
    <t>udah dikirim ke Wa</t>
  </si>
  <si>
    <t>04 Maret 2026</t>
  </si>
  <si>
    <t>Kimora Amanda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</si>
</sst>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Arial MT"/>
    </font>
    <font>
      <sz val="12"/>
      <name val="Arial MT"/>
      <family val="2"/>
    </font>
    <font>
      <sz val="8"/>
      <name val="Aptos Narrow"/>
      <family val="2"/>
      <scheme val="minor"/>
    </font>
    <font>
      <sz val="12"/>
      <name val="Arial"/>
      <family val="2"/>
    </font>
    <font>
      <sz val="12"/>
      <name val="Aptos Narrow"/>
      <family val="2"/>
      <scheme val="minor"/>
    </font>
    <font>
      <sz val="10"/>
      <name val="Arial"/>
      <family val="2"/>
    </font>
    <font>
      <sz val="10"/>
      <name val="Aptos Narrow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6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10" fillId="0" borderId="0" xfId="0" applyFont="1"/>
    <xf numFmtId="0" fontId="10" fillId="2" borderId="0" xfId="0" applyFont="1" applyFill="1"/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2" fillId="2" borderId="1" xfId="0" applyFont="1" applyFill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7"/>
          <bgColor theme="7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4545-EEA0-41AC-B748-AA54777FC5B5}">
  <dimension ref="A1:P136"/>
  <sheetViews>
    <sheetView topLeftCell="A92" zoomScale="90" zoomScaleNormal="90" workbookViewId="0">
      <pane ySplit="840" topLeftCell="A127" activePane="bottomLeft"/>
      <selection activeCell="F92" sqref="F1:H1048576"/>
      <selection pane="bottomLeft" activeCell="F133" sqref="F133"/>
    </sheetView>
  </sheetViews>
  <sheetFormatPr defaultColWidth="9.125" defaultRowHeight="15.75"/>
  <cols>
    <col min="1" max="1" width="4.125" style="13" bestFit="1" customWidth="1"/>
    <col min="2" max="2" width="7.875" style="13" bestFit="1" customWidth="1"/>
    <col min="3" max="3" width="5.125" style="13" bestFit="1" customWidth="1"/>
    <col min="4" max="4" width="5.125" style="13" customWidth="1"/>
    <col min="5" max="5" width="13.75" style="4" bestFit="1" customWidth="1"/>
    <col min="6" max="6" width="37.125" style="4" bestFit="1" customWidth="1"/>
    <col min="7" max="7" width="35.875" style="4" customWidth="1"/>
    <col min="8" max="8" width="10.875" style="13" customWidth="1"/>
    <col min="9" max="9" width="10.875" style="40" customWidth="1"/>
    <col min="10" max="14" width="8.625" style="4" customWidth="1"/>
    <col min="15" max="15" width="20.375" style="13" bestFit="1" customWidth="1"/>
    <col min="16" max="16384" width="9.125" style="4"/>
  </cols>
  <sheetData>
    <row r="1" spans="1:15" s="36" customFormat="1" ht="30">
      <c r="A1" s="42" t="s">
        <v>0</v>
      </c>
      <c r="B1" s="42" t="s">
        <v>1</v>
      </c>
      <c r="C1" s="42" t="s">
        <v>2</v>
      </c>
      <c r="D1" s="42" t="s">
        <v>93</v>
      </c>
      <c r="E1" s="42" t="s">
        <v>29</v>
      </c>
      <c r="F1" s="42" t="s">
        <v>30</v>
      </c>
      <c r="G1" s="42" t="s">
        <v>115</v>
      </c>
      <c r="H1" s="1" t="s">
        <v>33</v>
      </c>
      <c r="I1" s="5" t="s">
        <v>165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243</v>
      </c>
      <c r="O1" s="42" t="s">
        <v>77</v>
      </c>
    </row>
    <row r="2" spans="1:15">
      <c r="A2" s="2">
        <v>1</v>
      </c>
      <c r="B2" s="3" t="s">
        <v>31</v>
      </c>
      <c r="C2" s="2" t="s">
        <v>3</v>
      </c>
      <c r="D2" s="2"/>
      <c r="E2" s="1" t="s">
        <v>198</v>
      </c>
      <c r="F2" s="6" t="s">
        <v>57</v>
      </c>
      <c r="G2" s="6"/>
      <c r="H2" s="1" t="s">
        <v>38</v>
      </c>
      <c r="I2" s="5"/>
      <c r="J2" s="1" t="s">
        <v>39</v>
      </c>
      <c r="K2" s="1" t="s">
        <v>39</v>
      </c>
      <c r="L2" s="1" t="s">
        <v>40</v>
      </c>
      <c r="M2" s="1" t="s">
        <v>39</v>
      </c>
      <c r="N2" s="1" t="s">
        <v>39</v>
      </c>
      <c r="O2" s="3" t="s">
        <v>79</v>
      </c>
    </row>
    <row r="3" spans="1:15">
      <c r="A3" s="2">
        <v>2</v>
      </c>
      <c r="B3" s="3" t="s">
        <v>31</v>
      </c>
      <c r="C3" s="2" t="s">
        <v>5</v>
      </c>
      <c r="D3" s="2"/>
      <c r="E3" s="1" t="s">
        <v>199</v>
      </c>
      <c r="F3" s="6" t="s">
        <v>44</v>
      </c>
      <c r="G3" s="6"/>
      <c r="H3" s="1" t="s">
        <v>41</v>
      </c>
      <c r="I3" s="5"/>
      <c r="J3" s="1" t="s">
        <v>39</v>
      </c>
      <c r="K3" s="1" t="s">
        <v>40</v>
      </c>
      <c r="L3" s="1" t="s">
        <v>39</v>
      </c>
      <c r="M3" s="1" t="s">
        <v>39</v>
      </c>
      <c r="N3" s="1" t="s">
        <v>39</v>
      </c>
      <c r="O3" s="3" t="s">
        <v>79</v>
      </c>
    </row>
    <row r="4" spans="1:15">
      <c r="A4" s="2">
        <v>3</v>
      </c>
      <c r="B4" s="3" t="s">
        <v>31</v>
      </c>
      <c r="C4" s="2" t="s">
        <v>4</v>
      </c>
      <c r="D4" s="2"/>
      <c r="E4" s="1" t="s">
        <v>200</v>
      </c>
      <c r="F4" s="6" t="s">
        <v>45</v>
      </c>
      <c r="G4" s="6"/>
      <c r="H4" s="1" t="s">
        <v>41</v>
      </c>
      <c r="I4" s="5"/>
      <c r="J4" s="1" t="s">
        <v>39</v>
      </c>
      <c r="K4" s="1" t="s">
        <v>39</v>
      </c>
      <c r="L4" s="1" t="s">
        <v>39</v>
      </c>
      <c r="M4" s="1" t="s">
        <v>39</v>
      </c>
      <c r="N4" s="1" t="s">
        <v>39</v>
      </c>
      <c r="O4" s="3" t="s">
        <v>79</v>
      </c>
    </row>
    <row r="5" spans="1:15">
      <c r="A5" s="2">
        <v>4</v>
      </c>
      <c r="B5" s="3" t="s">
        <v>31</v>
      </c>
      <c r="C5" s="2" t="s">
        <v>6</v>
      </c>
      <c r="D5" s="2"/>
      <c r="E5" s="1" t="s">
        <v>201</v>
      </c>
      <c r="F5" s="6" t="s">
        <v>46</v>
      </c>
      <c r="G5" s="6"/>
      <c r="H5" s="1" t="s">
        <v>41</v>
      </c>
      <c r="I5" s="5"/>
      <c r="J5" s="1" t="s">
        <v>39</v>
      </c>
      <c r="K5" s="1" t="s">
        <v>39</v>
      </c>
      <c r="L5" s="1" t="s">
        <v>39</v>
      </c>
      <c r="M5" s="1" t="s">
        <v>39</v>
      </c>
      <c r="N5" s="1" t="s">
        <v>39</v>
      </c>
      <c r="O5" s="3" t="s">
        <v>79</v>
      </c>
    </row>
    <row r="6" spans="1:15">
      <c r="A6" s="2">
        <v>5</v>
      </c>
      <c r="B6" s="3" t="s">
        <v>31</v>
      </c>
      <c r="C6" s="2" t="s">
        <v>7</v>
      </c>
      <c r="D6" s="2"/>
      <c r="E6" s="1" t="s">
        <v>202</v>
      </c>
      <c r="F6" s="6" t="s">
        <v>47</v>
      </c>
      <c r="G6" s="6"/>
      <c r="H6" s="1" t="s">
        <v>38</v>
      </c>
      <c r="I6" s="5"/>
      <c r="J6" s="1" t="s">
        <v>39</v>
      </c>
      <c r="K6" s="1" t="s">
        <v>39</v>
      </c>
      <c r="L6" s="1" t="s">
        <v>39</v>
      </c>
      <c r="M6" s="1" t="s">
        <v>39</v>
      </c>
      <c r="N6" s="1" t="s">
        <v>39</v>
      </c>
      <c r="O6" s="3" t="s">
        <v>79</v>
      </c>
    </row>
    <row r="7" spans="1:15">
      <c r="A7" s="2">
        <v>6</v>
      </c>
      <c r="B7" s="3" t="s">
        <v>31</v>
      </c>
      <c r="C7" s="2" t="s">
        <v>8</v>
      </c>
      <c r="D7" s="2"/>
      <c r="E7" s="1" t="s">
        <v>203</v>
      </c>
      <c r="F7" s="6" t="s">
        <v>48</v>
      </c>
      <c r="G7" s="6"/>
      <c r="H7" s="1" t="s">
        <v>41</v>
      </c>
      <c r="I7" s="5"/>
      <c r="J7" s="1" t="s">
        <v>40</v>
      </c>
      <c r="K7" s="1" t="s">
        <v>39</v>
      </c>
      <c r="L7" s="1" t="s">
        <v>39</v>
      </c>
      <c r="M7" s="1" t="s">
        <v>39</v>
      </c>
      <c r="N7" s="1" t="s">
        <v>39</v>
      </c>
      <c r="O7" s="3" t="s">
        <v>79</v>
      </c>
    </row>
    <row r="8" spans="1:15">
      <c r="A8" s="2">
        <v>7</v>
      </c>
      <c r="B8" s="3" t="s">
        <v>31</v>
      </c>
      <c r="C8" s="2" t="s">
        <v>9</v>
      </c>
      <c r="D8" s="2"/>
      <c r="E8" s="1" t="s">
        <v>204</v>
      </c>
      <c r="F8" s="6" t="s">
        <v>49</v>
      </c>
      <c r="G8" s="6"/>
      <c r="H8" s="1" t="s">
        <v>38</v>
      </c>
      <c r="I8" s="5"/>
      <c r="J8" s="1" t="s">
        <v>39</v>
      </c>
      <c r="K8" s="1" t="s">
        <v>40</v>
      </c>
      <c r="L8" s="1" t="s">
        <v>39</v>
      </c>
      <c r="M8" s="1" t="s">
        <v>39</v>
      </c>
      <c r="N8" s="1" t="s">
        <v>39</v>
      </c>
      <c r="O8" s="3" t="s">
        <v>79</v>
      </c>
    </row>
    <row r="9" spans="1:15">
      <c r="A9" s="2">
        <v>8</v>
      </c>
      <c r="B9" s="3" t="s">
        <v>31</v>
      </c>
      <c r="C9" s="2" t="s">
        <v>10</v>
      </c>
      <c r="D9" s="2"/>
      <c r="E9" s="1" t="s">
        <v>205</v>
      </c>
      <c r="F9" s="6" t="s">
        <v>50</v>
      </c>
      <c r="G9" s="6"/>
      <c r="H9" s="1" t="s">
        <v>38</v>
      </c>
      <c r="I9" s="5"/>
      <c r="J9" s="1" t="s">
        <v>39</v>
      </c>
      <c r="K9" s="1" t="s">
        <v>39</v>
      </c>
      <c r="L9" s="1" t="s">
        <v>39</v>
      </c>
      <c r="M9" s="1" t="s">
        <v>39</v>
      </c>
      <c r="N9" s="1" t="s">
        <v>39</v>
      </c>
      <c r="O9" s="3" t="s">
        <v>79</v>
      </c>
    </row>
    <row r="10" spans="1:15">
      <c r="A10" s="2">
        <v>9</v>
      </c>
      <c r="B10" s="3" t="s">
        <v>31</v>
      </c>
      <c r="C10" s="2" t="s">
        <v>11</v>
      </c>
      <c r="D10" s="2"/>
      <c r="E10" s="1" t="s">
        <v>206</v>
      </c>
      <c r="F10" s="6" t="s">
        <v>51</v>
      </c>
      <c r="G10" s="6"/>
      <c r="H10" s="1" t="s">
        <v>42</v>
      </c>
      <c r="I10" s="5"/>
      <c r="J10" s="1" t="s">
        <v>39</v>
      </c>
      <c r="K10" s="1" t="s">
        <v>39</v>
      </c>
      <c r="L10" s="1" t="s">
        <v>39</v>
      </c>
      <c r="M10" s="1" t="s">
        <v>40</v>
      </c>
      <c r="N10" s="1" t="s">
        <v>39</v>
      </c>
      <c r="O10" s="3" t="s">
        <v>79</v>
      </c>
    </row>
    <row r="11" spans="1:15" s="39" customFormat="1">
      <c r="A11" s="37">
        <v>10</v>
      </c>
      <c r="B11" s="38" t="s">
        <v>31</v>
      </c>
      <c r="C11" s="37" t="s">
        <v>12</v>
      </c>
      <c r="D11" s="37"/>
      <c r="E11" s="5" t="s">
        <v>207</v>
      </c>
      <c r="F11" s="6" t="s">
        <v>52</v>
      </c>
      <c r="G11" s="6"/>
      <c r="H11" s="5" t="s">
        <v>38</v>
      </c>
      <c r="I11" s="5"/>
      <c r="J11" s="5" t="s">
        <v>39</v>
      </c>
      <c r="K11" s="5" t="s">
        <v>39</v>
      </c>
      <c r="L11" s="5" t="s">
        <v>40</v>
      </c>
      <c r="M11" s="5" t="s">
        <v>39</v>
      </c>
      <c r="N11" s="5" t="s">
        <v>39</v>
      </c>
      <c r="O11" s="38" t="s">
        <v>79</v>
      </c>
    </row>
    <row r="12" spans="1:15">
      <c r="A12" s="2">
        <v>11</v>
      </c>
      <c r="B12" s="3" t="s">
        <v>31</v>
      </c>
      <c r="C12" s="2" t="s">
        <v>13</v>
      </c>
      <c r="D12" s="2"/>
      <c r="E12" s="1" t="s">
        <v>208</v>
      </c>
      <c r="F12" s="6" t="s">
        <v>53</v>
      </c>
      <c r="G12" s="6"/>
      <c r="H12" s="1" t="s">
        <v>38</v>
      </c>
      <c r="I12" s="5"/>
      <c r="J12" s="1" t="s">
        <v>39</v>
      </c>
      <c r="K12" s="1" t="s">
        <v>39</v>
      </c>
      <c r="L12" s="1" t="s">
        <v>39</v>
      </c>
      <c r="M12" s="1" t="s">
        <v>39</v>
      </c>
      <c r="N12" s="1" t="s">
        <v>39</v>
      </c>
      <c r="O12" s="3" t="s">
        <v>79</v>
      </c>
    </row>
    <row r="13" spans="1:15">
      <c r="A13" s="2">
        <v>12</v>
      </c>
      <c r="B13" s="3" t="s">
        <v>31</v>
      </c>
      <c r="C13" s="2" t="s">
        <v>14</v>
      </c>
      <c r="D13" s="2"/>
      <c r="E13" s="1" t="s">
        <v>209</v>
      </c>
      <c r="F13" s="6" t="s">
        <v>32</v>
      </c>
      <c r="G13" s="6"/>
      <c r="H13" s="1" t="s">
        <v>43</v>
      </c>
      <c r="I13" s="5"/>
      <c r="J13" s="1" t="s">
        <v>39</v>
      </c>
      <c r="K13" s="1" t="s">
        <v>39</v>
      </c>
      <c r="L13" s="1" t="s">
        <v>39</v>
      </c>
      <c r="M13" s="1" t="s">
        <v>39</v>
      </c>
      <c r="N13" s="1" t="s">
        <v>39</v>
      </c>
      <c r="O13" s="3" t="s">
        <v>79</v>
      </c>
    </row>
    <row r="14" spans="1:15">
      <c r="A14" s="2">
        <v>13</v>
      </c>
      <c r="B14" s="3" t="s">
        <v>31</v>
      </c>
      <c r="C14" s="2" t="s">
        <v>15</v>
      </c>
      <c r="D14" s="2"/>
      <c r="E14" s="1" t="s">
        <v>210</v>
      </c>
      <c r="F14" s="6" t="s">
        <v>54</v>
      </c>
      <c r="G14" s="6"/>
      <c r="H14" s="1" t="s">
        <v>41</v>
      </c>
      <c r="I14" s="5"/>
      <c r="J14" s="1" t="s">
        <v>39</v>
      </c>
      <c r="K14" s="1" t="s">
        <v>39</v>
      </c>
      <c r="L14" s="1" t="s">
        <v>39</v>
      </c>
      <c r="M14" s="1" t="s">
        <v>39</v>
      </c>
      <c r="N14" s="1" t="s">
        <v>39</v>
      </c>
      <c r="O14" s="3" t="s">
        <v>79</v>
      </c>
    </row>
    <row r="15" spans="1:15">
      <c r="A15" s="2">
        <v>14</v>
      </c>
      <c r="B15" s="3" t="s">
        <v>31</v>
      </c>
      <c r="C15" s="2" t="s">
        <v>16</v>
      </c>
      <c r="D15" s="2"/>
      <c r="E15" s="1" t="s">
        <v>211</v>
      </c>
      <c r="F15" s="6" t="s">
        <v>55</v>
      </c>
      <c r="G15" s="6"/>
      <c r="H15" s="1" t="s">
        <v>38</v>
      </c>
      <c r="I15" s="5"/>
      <c r="J15" s="1" t="s">
        <v>39</v>
      </c>
      <c r="K15" s="1" t="s">
        <v>39</v>
      </c>
      <c r="L15" s="1" t="s">
        <v>40</v>
      </c>
      <c r="M15" s="1" t="s">
        <v>39</v>
      </c>
      <c r="N15" s="1" t="s">
        <v>39</v>
      </c>
      <c r="O15" s="3" t="s">
        <v>79</v>
      </c>
    </row>
    <row r="16" spans="1:15">
      <c r="A16" s="2">
        <v>15</v>
      </c>
      <c r="B16" s="3" t="s">
        <v>31</v>
      </c>
      <c r="C16" s="2" t="s">
        <v>17</v>
      </c>
      <c r="D16" s="2"/>
      <c r="E16" s="1" t="s">
        <v>212</v>
      </c>
      <c r="F16" s="6" t="s">
        <v>56</v>
      </c>
      <c r="G16" s="6"/>
      <c r="H16" s="1" t="s">
        <v>38</v>
      </c>
      <c r="I16" s="5"/>
      <c r="J16" s="1" t="s">
        <v>39</v>
      </c>
      <c r="K16" s="1" t="s">
        <v>39</v>
      </c>
      <c r="L16" s="1" t="s">
        <v>39</v>
      </c>
      <c r="M16" s="1" t="s">
        <v>39</v>
      </c>
      <c r="N16" s="1" t="s">
        <v>39</v>
      </c>
      <c r="O16" s="3" t="s">
        <v>80</v>
      </c>
    </row>
    <row r="17" spans="1:15">
      <c r="A17" s="2">
        <v>16</v>
      </c>
      <c r="B17" s="3" t="s">
        <v>31</v>
      </c>
      <c r="C17" s="2" t="s">
        <v>18</v>
      </c>
      <c r="D17" s="2"/>
      <c r="E17" s="1" t="s">
        <v>58</v>
      </c>
      <c r="F17" s="6" t="s">
        <v>59</v>
      </c>
      <c r="G17" s="6"/>
      <c r="H17" s="1" t="s">
        <v>41</v>
      </c>
      <c r="I17" s="5"/>
      <c r="J17" s="7" t="s">
        <v>3</v>
      </c>
      <c r="K17" s="7" t="s">
        <v>3</v>
      </c>
      <c r="L17" s="7" t="s">
        <v>3</v>
      </c>
      <c r="M17" s="7" t="s">
        <v>3</v>
      </c>
      <c r="N17" s="8" t="s">
        <v>3</v>
      </c>
      <c r="O17" s="3" t="s">
        <v>78</v>
      </c>
    </row>
    <row r="18" spans="1:15">
      <c r="A18" s="2">
        <v>17</v>
      </c>
      <c r="B18" s="3" t="s">
        <v>31</v>
      </c>
      <c r="C18" s="2" t="s">
        <v>19</v>
      </c>
      <c r="D18" s="2"/>
      <c r="E18" s="1" t="s">
        <v>60</v>
      </c>
      <c r="F18" s="6" t="s">
        <v>69</v>
      </c>
      <c r="G18" s="6"/>
      <c r="H18" s="1" t="s">
        <v>61</v>
      </c>
      <c r="I18" s="5"/>
      <c r="J18" s="7" t="s">
        <v>3</v>
      </c>
      <c r="K18" s="7" t="s">
        <v>3</v>
      </c>
      <c r="L18" s="7" t="s">
        <v>3</v>
      </c>
      <c r="M18" s="7" t="s">
        <v>3</v>
      </c>
      <c r="N18" s="8" t="s">
        <v>3</v>
      </c>
      <c r="O18" s="3" t="s">
        <v>78</v>
      </c>
    </row>
    <row r="19" spans="1:15">
      <c r="A19" s="2">
        <v>18</v>
      </c>
      <c r="B19" s="3" t="s">
        <v>31</v>
      </c>
      <c r="C19" s="2" t="s">
        <v>20</v>
      </c>
      <c r="D19" s="2"/>
      <c r="E19" s="1" t="s">
        <v>62</v>
      </c>
      <c r="F19" s="6" t="s">
        <v>70</v>
      </c>
      <c r="G19" s="6"/>
      <c r="H19" s="1" t="s">
        <v>63</v>
      </c>
      <c r="I19" s="5"/>
      <c r="J19" s="7" t="s">
        <v>3</v>
      </c>
      <c r="K19" s="7" t="s">
        <v>4</v>
      </c>
      <c r="L19" s="7" t="s">
        <v>3</v>
      </c>
      <c r="M19" s="7" t="s">
        <v>3</v>
      </c>
      <c r="N19" s="8" t="s">
        <v>3</v>
      </c>
      <c r="O19" s="3" t="s">
        <v>78</v>
      </c>
    </row>
    <row r="20" spans="1:15">
      <c r="A20" s="2">
        <v>19</v>
      </c>
      <c r="B20" s="3" t="s">
        <v>31</v>
      </c>
      <c r="C20" s="2" t="s">
        <v>21</v>
      </c>
      <c r="D20" s="2"/>
      <c r="E20" s="1" t="s">
        <v>87</v>
      </c>
      <c r="F20" s="6" t="s">
        <v>88</v>
      </c>
      <c r="G20" s="6"/>
      <c r="H20" s="1" t="s">
        <v>61</v>
      </c>
      <c r="I20" s="5"/>
      <c r="J20" s="9" t="s">
        <v>3</v>
      </c>
      <c r="K20" s="9" t="s">
        <v>4</v>
      </c>
      <c r="L20" s="9" t="s">
        <v>3</v>
      </c>
      <c r="M20" s="9" t="s">
        <v>3</v>
      </c>
      <c r="N20" s="9" t="s">
        <v>3</v>
      </c>
      <c r="O20" s="3" t="s">
        <v>78</v>
      </c>
    </row>
    <row r="21" spans="1:15">
      <c r="A21" s="2">
        <v>20</v>
      </c>
      <c r="B21" s="3" t="s">
        <v>31</v>
      </c>
      <c r="C21" s="2" t="s">
        <v>22</v>
      </c>
      <c r="D21" s="2"/>
      <c r="E21" s="1" t="s">
        <v>64</v>
      </c>
      <c r="F21" s="6" t="s">
        <v>71</v>
      </c>
      <c r="G21" s="6"/>
      <c r="H21" s="1" t="s">
        <v>65</v>
      </c>
      <c r="I21" s="5"/>
      <c r="J21" s="7" t="s">
        <v>3</v>
      </c>
      <c r="K21" s="7" t="s">
        <v>5</v>
      </c>
      <c r="L21" s="7" t="s">
        <v>3</v>
      </c>
      <c r="M21" s="7" t="s">
        <v>3</v>
      </c>
      <c r="N21" s="8" t="s">
        <v>3</v>
      </c>
      <c r="O21" s="3" t="s">
        <v>78</v>
      </c>
    </row>
    <row r="22" spans="1:15">
      <c r="A22" s="2">
        <v>21</v>
      </c>
      <c r="B22" s="3" t="s">
        <v>31</v>
      </c>
      <c r="C22" s="2" t="s">
        <v>23</v>
      </c>
      <c r="D22" s="2"/>
      <c r="E22" s="1" t="s">
        <v>66</v>
      </c>
      <c r="F22" s="6" t="s">
        <v>72</v>
      </c>
      <c r="G22" s="6"/>
      <c r="H22" s="1" t="s">
        <v>63</v>
      </c>
      <c r="I22" s="5"/>
      <c r="J22" s="7" t="s">
        <v>3</v>
      </c>
      <c r="K22" s="7" t="s">
        <v>5</v>
      </c>
      <c r="L22" s="7" t="s">
        <v>3</v>
      </c>
      <c r="M22" s="7" t="s">
        <v>3</v>
      </c>
      <c r="N22" s="8" t="s">
        <v>3</v>
      </c>
      <c r="O22" s="3" t="s">
        <v>78</v>
      </c>
    </row>
    <row r="23" spans="1:15">
      <c r="A23" s="2">
        <v>22</v>
      </c>
      <c r="B23" s="3" t="s">
        <v>31</v>
      </c>
      <c r="C23" s="2" t="s">
        <v>24</v>
      </c>
      <c r="D23" s="2"/>
      <c r="E23" s="1" t="s">
        <v>67</v>
      </c>
      <c r="F23" s="6" t="s">
        <v>73</v>
      </c>
      <c r="G23" s="6"/>
      <c r="H23" s="1" t="s">
        <v>65</v>
      </c>
      <c r="I23" s="5"/>
      <c r="J23" s="7" t="s">
        <v>5</v>
      </c>
      <c r="K23" s="7" t="s">
        <v>4</v>
      </c>
      <c r="L23" s="7" t="s">
        <v>5</v>
      </c>
      <c r="M23" s="7" t="s">
        <v>3</v>
      </c>
      <c r="N23" s="8" t="s">
        <v>3</v>
      </c>
      <c r="O23" s="3" t="s">
        <v>78</v>
      </c>
    </row>
    <row r="24" spans="1:15">
      <c r="A24" s="2">
        <v>23</v>
      </c>
      <c r="B24" s="3" t="s">
        <v>31</v>
      </c>
      <c r="C24" s="2" t="s">
        <v>25</v>
      </c>
      <c r="D24" s="2"/>
      <c r="E24" s="1" t="s">
        <v>68</v>
      </c>
      <c r="F24" s="6" t="s">
        <v>74</v>
      </c>
      <c r="G24" s="6"/>
      <c r="H24" s="1" t="s">
        <v>63</v>
      </c>
      <c r="I24" s="5"/>
      <c r="J24" s="7"/>
      <c r="K24" s="7"/>
      <c r="L24" s="7"/>
      <c r="M24" s="7"/>
      <c r="N24" s="8"/>
      <c r="O24" s="3" t="s">
        <v>78</v>
      </c>
    </row>
    <row r="25" spans="1:15">
      <c r="A25" s="2">
        <v>24</v>
      </c>
      <c r="B25" s="3" t="s">
        <v>31</v>
      </c>
      <c r="C25" s="2" t="s">
        <v>26</v>
      </c>
      <c r="D25" s="2"/>
      <c r="E25" s="1" t="s">
        <v>75</v>
      </c>
      <c r="F25" s="6" t="s">
        <v>76</v>
      </c>
      <c r="G25" s="6"/>
      <c r="H25" s="1" t="s">
        <v>63</v>
      </c>
      <c r="I25" s="5"/>
      <c r="J25" s="7" t="s">
        <v>3</v>
      </c>
      <c r="K25" s="7" t="s">
        <v>3</v>
      </c>
      <c r="L25" s="7" t="s">
        <v>3</v>
      </c>
      <c r="M25" s="7" t="s">
        <v>3</v>
      </c>
      <c r="N25" s="8" t="s">
        <v>3</v>
      </c>
      <c r="O25" s="3" t="s">
        <v>78</v>
      </c>
    </row>
    <row r="26" spans="1:15">
      <c r="A26" s="2">
        <v>25</v>
      </c>
      <c r="B26" s="3" t="s">
        <v>31</v>
      </c>
      <c r="C26" s="2" t="s">
        <v>27</v>
      </c>
      <c r="D26" s="2"/>
      <c r="E26" s="1" t="s">
        <v>81</v>
      </c>
      <c r="F26" s="6" t="s">
        <v>89</v>
      </c>
      <c r="G26" s="6"/>
      <c r="H26" s="1" t="s">
        <v>65</v>
      </c>
      <c r="I26" s="5"/>
      <c r="J26" s="9" t="s">
        <v>3</v>
      </c>
      <c r="K26" s="9" t="s">
        <v>3</v>
      </c>
      <c r="L26" s="9" t="s">
        <v>5</v>
      </c>
      <c r="M26" s="9" t="s">
        <v>3</v>
      </c>
      <c r="N26" s="9" t="s">
        <v>3</v>
      </c>
      <c r="O26" s="3" t="s">
        <v>78</v>
      </c>
    </row>
    <row r="27" spans="1:15">
      <c r="A27" s="2">
        <v>26</v>
      </c>
      <c r="B27" s="3" t="s">
        <v>31</v>
      </c>
      <c r="C27" s="2" t="s">
        <v>28</v>
      </c>
      <c r="D27" s="2"/>
      <c r="E27" s="1" t="s">
        <v>82</v>
      </c>
      <c r="F27" s="6" t="s">
        <v>90</v>
      </c>
      <c r="G27" s="6"/>
      <c r="H27" s="1" t="s">
        <v>65</v>
      </c>
      <c r="I27" s="5"/>
      <c r="J27" s="9" t="s">
        <v>5</v>
      </c>
      <c r="K27" s="9" t="s">
        <v>3</v>
      </c>
      <c r="L27" s="9" t="s">
        <v>3</v>
      </c>
      <c r="M27" s="9" t="s">
        <v>5</v>
      </c>
      <c r="N27" s="9" t="s">
        <v>3</v>
      </c>
      <c r="O27" s="3" t="s">
        <v>78</v>
      </c>
    </row>
    <row r="28" spans="1:15">
      <c r="A28" s="2">
        <v>27</v>
      </c>
      <c r="B28" s="3" t="s">
        <v>31</v>
      </c>
      <c r="C28" s="2" t="s">
        <v>3</v>
      </c>
      <c r="D28" s="2" t="s">
        <v>5</v>
      </c>
      <c r="E28" s="1" t="s">
        <v>83</v>
      </c>
      <c r="F28" s="6" t="s">
        <v>91</v>
      </c>
      <c r="G28" s="6"/>
      <c r="H28" s="1" t="s">
        <v>65</v>
      </c>
      <c r="I28" s="5"/>
      <c r="J28" s="9" t="s">
        <v>3</v>
      </c>
      <c r="K28" s="9" t="s">
        <v>5</v>
      </c>
      <c r="L28" s="9" t="s">
        <v>3</v>
      </c>
      <c r="M28" s="9" t="s">
        <v>3</v>
      </c>
      <c r="N28" s="9" t="s">
        <v>3</v>
      </c>
      <c r="O28" s="3" t="s">
        <v>78</v>
      </c>
    </row>
    <row r="29" spans="1:15">
      <c r="A29" s="2">
        <v>28</v>
      </c>
      <c r="B29" s="3" t="s">
        <v>31</v>
      </c>
      <c r="C29" s="2" t="s">
        <v>5</v>
      </c>
      <c r="D29" s="2" t="s">
        <v>5</v>
      </c>
      <c r="E29" s="1" t="s">
        <v>84</v>
      </c>
      <c r="F29" s="6" t="s">
        <v>92</v>
      </c>
      <c r="G29" s="6"/>
      <c r="H29" s="1" t="s">
        <v>63</v>
      </c>
      <c r="I29" s="5"/>
      <c r="J29" s="9" t="s">
        <v>3</v>
      </c>
      <c r="K29" s="9" t="s">
        <v>4</v>
      </c>
      <c r="L29" s="9" t="s">
        <v>5</v>
      </c>
      <c r="M29" s="9" t="s">
        <v>3</v>
      </c>
      <c r="N29" s="9" t="s">
        <v>3</v>
      </c>
      <c r="O29" s="3" t="s">
        <v>78</v>
      </c>
    </row>
    <row r="30" spans="1:15">
      <c r="A30" s="2">
        <v>29</v>
      </c>
      <c r="B30" s="3" t="s">
        <v>31</v>
      </c>
      <c r="C30" s="2" t="s">
        <v>4</v>
      </c>
      <c r="D30" s="2" t="s">
        <v>5</v>
      </c>
      <c r="E30" s="1" t="s">
        <v>85</v>
      </c>
      <c r="F30" s="6" t="s">
        <v>86</v>
      </c>
      <c r="G30" s="6"/>
      <c r="H30" s="1" t="s">
        <v>61</v>
      </c>
      <c r="I30" s="5"/>
      <c r="J30" s="9" t="s">
        <v>3</v>
      </c>
      <c r="K30" s="9" t="s">
        <v>4</v>
      </c>
      <c r="L30" s="9" t="s">
        <v>5</v>
      </c>
      <c r="M30" s="9" t="s">
        <v>3</v>
      </c>
      <c r="N30" s="9" t="s">
        <v>3</v>
      </c>
      <c r="O30" s="3" t="s">
        <v>78</v>
      </c>
    </row>
    <row r="31" spans="1:15">
      <c r="A31" s="2">
        <v>30</v>
      </c>
      <c r="B31" s="3" t="s">
        <v>31</v>
      </c>
      <c r="C31" s="2" t="s">
        <v>6</v>
      </c>
      <c r="D31" s="2" t="s">
        <v>5</v>
      </c>
      <c r="E31" s="1" t="s">
        <v>94</v>
      </c>
      <c r="F31" s="6" t="s">
        <v>95</v>
      </c>
      <c r="G31" s="6"/>
      <c r="H31" s="1" t="s">
        <v>41</v>
      </c>
      <c r="I31" s="5"/>
      <c r="J31" s="9" t="s">
        <v>3</v>
      </c>
      <c r="K31" s="9" t="s">
        <v>5</v>
      </c>
      <c r="L31" s="9" t="s">
        <v>3</v>
      </c>
      <c r="M31" s="9" t="s">
        <v>3</v>
      </c>
      <c r="N31" s="9" t="s">
        <v>3</v>
      </c>
      <c r="O31" s="2" t="s">
        <v>96</v>
      </c>
    </row>
    <row r="32" spans="1:15">
      <c r="A32" s="2">
        <v>31</v>
      </c>
      <c r="B32" s="3" t="s">
        <v>31</v>
      </c>
      <c r="C32" s="2" t="s">
        <v>7</v>
      </c>
      <c r="D32" s="2" t="s">
        <v>5</v>
      </c>
      <c r="E32" s="1" t="s">
        <v>97</v>
      </c>
      <c r="F32" s="6" t="s">
        <v>99</v>
      </c>
      <c r="G32" s="6"/>
      <c r="H32" s="1" t="s">
        <v>98</v>
      </c>
      <c r="I32" s="5"/>
      <c r="J32" s="9" t="s">
        <v>3</v>
      </c>
      <c r="K32" s="9" t="s">
        <v>3</v>
      </c>
      <c r="L32" s="9" t="s">
        <v>3</v>
      </c>
      <c r="M32" s="9" t="s">
        <v>3</v>
      </c>
      <c r="N32" s="9" t="s">
        <v>3</v>
      </c>
      <c r="O32" s="2" t="s">
        <v>96</v>
      </c>
    </row>
    <row r="33" spans="1:15">
      <c r="A33" s="2">
        <v>32</v>
      </c>
      <c r="B33" s="3" t="s">
        <v>31</v>
      </c>
      <c r="C33" s="2" t="s">
        <v>8</v>
      </c>
      <c r="D33" s="2" t="s">
        <v>5</v>
      </c>
      <c r="E33" s="1" t="s">
        <v>100</v>
      </c>
      <c r="F33" s="6" t="s">
        <v>101</v>
      </c>
      <c r="G33" s="6"/>
      <c r="H33" s="8" t="s">
        <v>98</v>
      </c>
      <c r="I33" s="7"/>
      <c r="J33" s="8" t="s">
        <v>3</v>
      </c>
      <c r="K33" s="8" t="s">
        <v>3</v>
      </c>
      <c r="L33" s="8" t="s">
        <v>3</v>
      </c>
      <c r="M33" s="8" t="s">
        <v>3</v>
      </c>
      <c r="N33" s="8" t="s">
        <v>3</v>
      </c>
      <c r="O33" s="2" t="s">
        <v>96</v>
      </c>
    </row>
    <row r="34" spans="1:15">
      <c r="A34" s="2">
        <v>33</v>
      </c>
      <c r="B34" s="3" t="s">
        <v>31</v>
      </c>
      <c r="C34" s="2" t="s">
        <v>9</v>
      </c>
      <c r="D34" s="2" t="s">
        <v>5</v>
      </c>
      <c r="E34" s="1" t="s">
        <v>102</v>
      </c>
      <c r="F34" s="10" t="s">
        <v>103</v>
      </c>
      <c r="G34" s="10"/>
      <c r="H34" s="8" t="s">
        <v>98</v>
      </c>
      <c r="I34" s="7"/>
      <c r="J34" s="8" t="s">
        <v>3</v>
      </c>
      <c r="K34" s="8" t="s">
        <v>3</v>
      </c>
      <c r="L34" s="8" t="s">
        <v>3</v>
      </c>
      <c r="M34" s="8" t="s">
        <v>3</v>
      </c>
      <c r="N34" s="8" t="s">
        <v>3</v>
      </c>
      <c r="O34" s="2" t="s">
        <v>96</v>
      </c>
    </row>
    <row r="35" spans="1:15">
      <c r="A35" s="2">
        <v>34</v>
      </c>
      <c r="B35" s="3" t="s">
        <v>31</v>
      </c>
      <c r="C35" s="2" t="s">
        <v>10</v>
      </c>
      <c r="D35" s="2" t="s">
        <v>5</v>
      </c>
      <c r="E35" s="1" t="s">
        <v>104</v>
      </c>
      <c r="F35" s="6" t="s">
        <v>109</v>
      </c>
      <c r="G35" s="6"/>
      <c r="H35" s="9" t="s">
        <v>98</v>
      </c>
      <c r="I35" s="11"/>
      <c r="J35" s="9" t="s">
        <v>3</v>
      </c>
      <c r="K35" s="9" t="s">
        <v>3</v>
      </c>
      <c r="L35" s="9" t="s">
        <v>3</v>
      </c>
      <c r="M35" s="9" t="s">
        <v>5</v>
      </c>
      <c r="N35" s="9" t="s">
        <v>3</v>
      </c>
      <c r="O35" s="2" t="s">
        <v>108</v>
      </c>
    </row>
    <row r="36" spans="1:15">
      <c r="A36" s="2">
        <v>35</v>
      </c>
      <c r="B36" s="3" t="s">
        <v>31</v>
      </c>
      <c r="C36" s="2" t="s">
        <v>11</v>
      </c>
      <c r="D36" s="2" t="s">
        <v>5</v>
      </c>
      <c r="E36" s="1" t="s">
        <v>105</v>
      </c>
      <c r="F36" s="6" t="s">
        <v>110</v>
      </c>
      <c r="G36" s="6"/>
      <c r="H36" s="9" t="s">
        <v>98</v>
      </c>
      <c r="I36" s="11"/>
      <c r="J36" s="9" t="s">
        <v>3</v>
      </c>
      <c r="K36" s="9" t="s">
        <v>5</v>
      </c>
      <c r="L36" s="9" t="s">
        <v>3</v>
      </c>
      <c r="M36" s="9" t="s">
        <v>3</v>
      </c>
      <c r="N36" s="9" t="s">
        <v>3</v>
      </c>
      <c r="O36" s="2" t="s">
        <v>108</v>
      </c>
    </row>
    <row r="37" spans="1:15">
      <c r="A37" s="2">
        <v>36</v>
      </c>
      <c r="B37" s="3" t="s">
        <v>31</v>
      </c>
      <c r="C37" s="2" t="s">
        <v>12</v>
      </c>
      <c r="D37" s="2" t="s">
        <v>5</v>
      </c>
      <c r="E37" s="1" t="s">
        <v>106</v>
      </c>
      <c r="F37" s="6" t="s">
        <v>111</v>
      </c>
      <c r="G37" s="6"/>
      <c r="H37" s="9" t="s">
        <v>65</v>
      </c>
      <c r="I37" s="11"/>
      <c r="J37" s="9" t="s">
        <v>3</v>
      </c>
      <c r="K37" s="9" t="s">
        <v>3</v>
      </c>
      <c r="L37" s="9" t="s">
        <v>3</v>
      </c>
      <c r="M37" s="9" t="s">
        <v>3</v>
      </c>
      <c r="N37" s="9" t="s">
        <v>3</v>
      </c>
      <c r="O37" s="2" t="s">
        <v>108</v>
      </c>
    </row>
    <row r="38" spans="1:15">
      <c r="A38" s="2">
        <v>37</v>
      </c>
      <c r="B38" s="3" t="s">
        <v>31</v>
      </c>
      <c r="C38" s="2" t="s">
        <v>13</v>
      </c>
      <c r="D38" s="2" t="s">
        <v>5</v>
      </c>
      <c r="E38" s="1" t="s">
        <v>107</v>
      </c>
      <c r="F38" s="6" t="s">
        <v>112</v>
      </c>
      <c r="G38" s="6"/>
      <c r="H38" s="9" t="s">
        <v>65</v>
      </c>
      <c r="I38" s="11"/>
      <c r="J38" s="9" t="s">
        <v>3</v>
      </c>
      <c r="K38" s="9" t="s">
        <v>4</v>
      </c>
      <c r="L38" s="9" t="s">
        <v>3</v>
      </c>
      <c r="M38" s="9" t="s">
        <v>3</v>
      </c>
      <c r="N38" s="9" t="s">
        <v>3</v>
      </c>
      <c r="O38" s="2" t="s">
        <v>108</v>
      </c>
    </row>
    <row r="39" spans="1:15">
      <c r="A39" s="2">
        <v>38</v>
      </c>
      <c r="B39" s="3" t="s">
        <v>31</v>
      </c>
      <c r="C39" s="2" t="s">
        <v>14</v>
      </c>
      <c r="D39" s="2" t="s">
        <v>5</v>
      </c>
      <c r="E39" s="1" t="s">
        <v>113</v>
      </c>
      <c r="F39" s="10" t="s">
        <v>114</v>
      </c>
      <c r="G39" s="10" t="str">
        <f t="shared" ref="G39:G66" si="0">UPPER(F39)</f>
        <v>UMAR FAWWAZ</v>
      </c>
      <c r="H39" s="14" t="s">
        <v>65</v>
      </c>
      <c r="I39" s="11"/>
      <c r="J39" s="9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2" t="s">
        <v>118</v>
      </c>
    </row>
    <row r="40" spans="1:15">
      <c r="A40" s="2">
        <v>39</v>
      </c>
      <c r="B40" s="3" t="s">
        <v>31</v>
      </c>
      <c r="C40" s="2" t="s">
        <v>15</v>
      </c>
      <c r="D40" s="2" t="s">
        <v>5</v>
      </c>
      <c r="E40" s="1" t="s">
        <v>116</v>
      </c>
      <c r="F40" s="10" t="s">
        <v>117</v>
      </c>
      <c r="G40" s="10" t="str">
        <f t="shared" si="0"/>
        <v>AZKA KHAIRUL ICHSAN HASUGIANA</v>
      </c>
      <c r="H40" s="14" t="s">
        <v>65</v>
      </c>
      <c r="I40" s="11"/>
      <c r="J40" s="9" t="s">
        <v>3</v>
      </c>
      <c r="K40" s="9" t="s">
        <v>3</v>
      </c>
      <c r="L40" s="9" t="s">
        <v>3</v>
      </c>
      <c r="M40" s="9" t="s">
        <v>3</v>
      </c>
      <c r="N40" s="9" t="s">
        <v>3</v>
      </c>
      <c r="O40" s="2" t="s">
        <v>118</v>
      </c>
    </row>
    <row r="41" spans="1:15">
      <c r="A41" s="2">
        <v>40</v>
      </c>
      <c r="B41" s="3" t="s">
        <v>31</v>
      </c>
      <c r="C41" s="2" t="s">
        <v>16</v>
      </c>
      <c r="D41" s="2" t="s">
        <v>5</v>
      </c>
      <c r="E41" s="1" t="s">
        <v>119</v>
      </c>
      <c r="F41" s="10" t="s">
        <v>120</v>
      </c>
      <c r="G41" s="10" t="str">
        <f t="shared" si="0"/>
        <v>NISRINA QURROTA AINI</v>
      </c>
      <c r="H41" s="14" t="s">
        <v>61</v>
      </c>
      <c r="I41" s="11"/>
      <c r="J41" s="9" t="s">
        <v>3</v>
      </c>
      <c r="K41" s="9" t="s">
        <v>4</v>
      </c>
      <c r="L41" s="9" t="s">
        <v>3</v>
      </c>
      <c r="M41" s="9" t="s">
        <v>3</v>
      </c>
      <c r="N41" s="9" t="s">
        <v>3</v>
      </c>
      <c r="O41" s="2" t="s">
        <v>118</v>
      </c>
    </row>
    <row r="42" spans="1:15">
      <c r="A42" s="2">
        <v>41</v>
      </c>
      <c r="B42" s="3" t="s">
        <v>31</v>
      </c>
      <c r="C42" s="2" t="s">
        <v>17</v>
      </c>
      <c r="D42" s="2" t="s">
        <v>5</v>
      </c>
      <c r="E42" s="1" t="s">
        <v>122</v>
      </c>
      <c r="F42" s="10" t="s">
        <v>121</v>
      </c>
      <c r="G42" s="10" t="str">
        <f t="shared" si="0"/>
        <v>FARHAN IBADURROHMAN</v>
      </c>
      <c r="H42" s="14" t="s">
        <v>63</v>
      </c>
      <c r="I42" s="11"/>
      <c r="J42" s="9" t="s">
        <v>3</v>
      </c>
      <c r="K42" s="9" t="s">
        <v>5</v>
      </c>
      <c r="L42" s="9" t="s">
        <v>5</v>
      </c>
      <c r="M42" s="9" t="s">
        <v>3</v>
      </c>
      <c r="N42" s="9" t="s">
        <v>3</v>
      </c>
      <c r="O42" s="2" t="s">
        <v>118</v>
      </c>
    </row>
    <row r="43" spans="1:15">
      <c r="A43" s="2">
        <v>42</v>
      </c>
      <c r="B43" s="3" t="s">
        <v>31</v>
      </c>
      <c r="C43" s="2" t="s">
        <v>18</v>
      </c>
      <c r="D43" s="2" t="s">
        <v>5</v>
      </c>
      <c r="E43" s="1" t="s">
        <v>123</v>
      </c>
      <c r="F43" s="12" t="s">
        <v>124</v>
      </c>
      <c r="G43" s="10" t="str">
        <f t="shared" si="0"/>
        <v>MUHAMMAD RAIHAN ALFAWWAZ</v>
      </c>
      <c r="H43" s="14" t="s">
        <v>65</v>
      </c>
      <c r="I43" s="11"/>
      <c r="J43" s="9" t="s">
        <v>3</v>
      </c>
      <c r="K43" s="9" t="s">
        <v>3</v>
      </c>
      <c r="L43" s="9" t="s">
        <v>3</v>
      </c>
      <c r="M43" s="9" t="s">
        <v>3</v>
      </c>
      <c r="N43" s="9" t="s">
        <v>3</v>
      </c>
      <c r="O43" s="2" t="s">
        <v>118</v>
      </c>
    </row>
    <row r="44" spans="1:15">
      <c r="A44" s="2">
        <v>43</v>
      </c>
      <c r="B44" s="3" t="s">
        <v>31</v>
      </c>
      <c r="C44" s="2" t="s">
        <v>19</v>
      </c>
      <c r="D44" s="2" t="s">
        <v>5</v>
      </c>
      <c r="E44" s="1" t="s">
        <v>125</v>
      </c>
      <c r="F44" s="12" t="s">
        <v>126</v>
      </c>
      <c r="G44" s="10" t="str">
        <f t="shared" si="0"/>
        <v>MUHAMMAD AL-FATIH FADHLY</v>
      </c>
      <c r="H44" s="14" t="s">
        <v>65</v>
      </c>
      <c r="I44" s="11"/>
      <c r="J44" s="9" t="s">
        <v>3</v>
      </c>
      <c r="K44" s="9" t="s">
        <v>5</v>
      </c>
      <c r="L44" s="9" t="s">
        <v>3</v>
      </c>
      <c r="M44" s="9" t="s">
        <v>3</v>
      </c>
      <c r="N44" s="9" t="s">
        <v>3</v>
      </c>
      <c r="O44" s="3" t="s">
        <v>141</v>
      </c>
    </row>
    <row r="45" spans="1:15">
      <c r="A45" s="2">
        <v>44</v>
      </c>
      <c r="B45" s="3" t="s">
        <v>31</v>
      </c>
      <c r="C45" s="2" t="s">
        <v>20</v>
      </c>
      <c r="D45" s="2" t="s">
        <v>5</v>
      </c>
      <c r="E45" s="1" t="s">
        <v>127</v>
      </c>
      <c r="F45" s="12" t="s">
        <v>128</v>
      </c>
      <c r="G45" s="10" t="str">
        <f t="shared" si="0"/>
        <v>ULFIA NURFAUZIAH</v>
      </c>
      <c r="H45" s="14" t="s">
        <v>98</v>
      </c>
      <c r="I45" s="11"/>
      <c r="J45" s="9" t="s">
        <v>3</v>
      </c>
      <c r="K45" s="9" t="s">
        <v>4</v>
      </c>
      <c r="L45" s="9" t="s">
        <v>3</v>
      </c>
      <c r="M45" s="9" t="s">
        <v>3</v>
      </c>
      <c r="N45" s="9" t="s">
        <v>3</v>
      </c>
      <c r="O45" s="3" t="s">
        <v>141</v>
      </c>
    </row>
    <row r="46" spans="1:15">
      <c r="A46" s="2">
        <v>45</v>
      </c>
      <c r="B46" s="3" t="s">
        <v>31</v>
      </c>
      <c r="C46" s="2" t="s">
        <v>21</v>
      </c>
      <c r="D46" s="2" t="s">
        <v>5</v>
      </c>
      <c r="E46" s="1" t="s">
        <v>129</v>
      </c>
      <c r="F46" s="12" t="s">
        <v>130</v>
      </c>
      <c r="G46" s="10" t="str">
        <f t="shared" si="0"/>
        <v>SITI FATIMAH AZZAHRA</v>
      </c>
      <c r="H46" s="14" t="s">
        <v>98</v>
      </c>
      <c r="I46" s="11"/>
      <c r="J46" s="9" t="s">
        <v>3</v>
      </c>
      <c r="K46" s="9" t="s">
        <v>3</v>
      </c>
      <c r="L46" s="9" t="s">
        <v>3</v>
      </c>
      <c r="M46" s="9" t="s">
        <v>3</v>
      </c>
      <c r="N46" s="9" t="s">
        <v>3</v>
      </c>
      <c r="O46" s="3" t="s">
        <v>141</v>
      </c>
    </row>
    <row r="47" spans="1:15">
      <c r="A47" s="2">
        <v>46</v>
      </c>
      <c r="B47" s="3" t="s">
        <v>31</v>
      </c>
      <c r="C47" s="2" t="s">
        <v>22</v>
      </c>
      <c r="D47" s="2" t="s">
        <v>5</v>
      </c>
      <c r="E47" s="1" t="s">
        <v>131</v>
      </c>
      <c r="F47" s="12" t="s">
        <v>132</v>
      </c>
      <c r="G47" s="10" t="str">
        <f t="shared" si="0"/>
        <v>SITI ARAFAH</v>
      </c>
      <c r="H47" s="14" t="s">
        <v>61</v>
      </c>
      <c r="I47" s="11"/>
      <c r="J47" s="9" t="s">
        <v>3</v>
      </c>
      <c r="K47" s="9" t="s">
        <v>4</v>
      </c>
      <c r="L47" s="9" t="s">
        <v>5</v>
      </c>
      <c r="M47" s="9" t="s">
        <v>3</v>
      </c>
      <c r="N47" s="9" t="s">
        <v>3</v>
      </c>
      <c r="O47" s="3" t="s">
        <v>141</v>
      </c>
    </row>
    <row r="48" spans="1:15">
      <c r="A48" s="2">
        <v>47</v>
      </c>
      <c r="B48" s="3" t="s">
        <v>31</v>
      </c>
      <c r="C48" s="2" t="s">
        <v>23</v>
      </c>
      <c r="D48" s="2" t="s">
        <v>5</v>
      </c>
      <c r="E48" s="1" t="s">
        <v>133</v>
      </c>
      <c r="F48" s="12" t="s">
        <v>134</v>
      </c>
      <c r="G48" s="10" t="str">
        <f t="shared" si="0"/>
        <v>ADINDA HUMAIRA</v>
      </c>
      <c r="H48" s="14" t="s">
        <v>61</v>
      </c>
      <c r="I48" s="11"/>
      <c r="J48" s="9" t="s">
        <v>3</v>
      </c>
      <c r="K48" s="9" t="s">
        <v>5</v>
      </c>
      <c r="L48" s="9" t="s">
        <v>3</v>
      </c>
      <c r="M48" s="9" t="s">
        <v>3</v>
      </c>
      <c r="N48" s="9" t="s">
        <v>3</v>
      </c>
      <c r="O48" s="3" t="s">
        <v>141</v>
      </c>
    </row>
    <row r="49" spans="1:16">
      <c r="A49" s="2">
        <v>48</v>
      </c>
      <c r="B49" s="3" t="s">
        <v>31</v>
      </c>
      <c r="C49" s="2" t="s">
        <v>24</v>
      </c>
      <c r="D49" s="2" t="s">
        <v>5</v>
      </c>
      <c r="E49" s="1" t="s">
        <v>139</v>
      </c>
      <c r="F49" s="14" t="s">
        <v>140</v>
      </c>
      <c r="G49" s="10" t="str">
        <f t="shared" si="0"/>
        <v>QISYA RAHMA KAMILA</v>
      </c>
      <c r="H49" s="14" t="s">
        <v>98</v>
      </c>
      <c r="I49" s="11"/>
      <c r="J49" s="9" t="s">
        <v>3</v>
      </c>
      <c r="K49" s="9" t="s">
        <v>3</v>
      </c>
      <c r="L49" s="9" t="s">
        <v>3</v>
      </c>
      <c r="M49" s="9" t="s">
        <v>3</v>
      </c>
      <c r="N49" s="9" t="s">
        <v>3</v>
      </c>
      <c r="O49" s="3" t="s">
        <v>141</v>
      </c>
    </row>
    <row r="50" spans="1:16">
      <c r="A50" s="2">
        <v>49</v>
      </c>
      <c r="B50" s="3" t="s">
        <v>31</v>
      </c>
      <c r="C50" s="2" t="s">
        <v>25</v>
      </c>
      <c r="D50" s="2" t="s">
        <v>5</v>
      </c>
      <c r="E50" s="1" t="s">
        <v>135</v>
      </c>
      <c r="F50" s="12" t="s">
        <v>136</v>
      </c>
      <c r="G50" s="10" t="str">
        <f t="shared" si="0"/>
        <v>ARRAYYAN ABDUR RASHID</v>
      </c>
      <c r="H50" s="14" t="s">
        <v>65</v>
      </c>
      <c r="I50" s="11"/>
      <c r="J50" s="9" t="s">
        <v>3</v>
      </c>
      <c r="K50" s="9" t="s">
        <v>3</v>
      </c>
      <c r="L50" s="9" t="s">
        <v>5</v>
      </c>
      <c r="M50" s="9" t="s">
        <v>5</v>
      </c>
      <c r="N50" s="9" t="s">
        <v>3</v>
      </c>
      <c r="O50" s="3" t="s">
        <v>141</v>
      </c>
    </row>
    <row r="51" spans="1:16">
      <c r="A51" s="2">
        <v>50</v>
      </c>
      <c r="B51" s="3" t="s">
        <v>31</v>
      </c>
      <c r="C51" s="2" t="s">
        <v>26</v>
      </c>
      <c r="D51" s="2" t="s">
        <v>5</v>
      </c>
      <c r="E51" s="1" t="s">
        <v>137</v>
      </c>
      <c r="F51" s="12" t="s">
        <v>138</v>
      </c>
      <c r="G51" s="10" t="str">
        <f t="shared" si="0"/>
        <v>HANIFAH AZAHRA PUTRI</v>
      </c>
      <c r="H51" s="14" t="s">
        <v>98</v>
      </c>
      <c r="I51" s="11"/>
      <c r="J51" s="9" t="s">
        <v>3</v>
      </c>
      <c r="K51" s="9" t="s">
        <v>3</v>
      </c>
      <c r="L51" s="9" t="s">
        <v>3</v>
      </c>
      <c r="M51" s="9" t="s">
        <v>3</v>
      </c>
      <c r="N51" s="9" t="s">
        <v>3</v>
      </c>
      <c r="O51" s="3" t="s">
        <v>141</v>
      </c>
    </row>
    <row r="52" spans="1:16">
      <c r="A52" s="2">
        <v>51</v>
      </c>
      <c r="B52" s="3" t="s">
        <v>31</v>
      </c>
      <c r="C52" s="2" t="s">
        <v>27</v>
      </c>
      <c r="D52" s="2" t="s">
        <v>5</v>
      </c>
      <c r="E52" s="1" t="s">
        <v>142</v>
      </c>
      <c r="F52" s="14" t="s">
        <v>143</v>
      </c>
      <c r="G52" s="10" t="str">
        <f t="shared" si="0"/>
        <v>AKHDAN AZKIYA MAHDY</v>
      </c>
      <c r="H52" s="14" t="s">
        <v>65</v>
      </c>
      <c r="I52" s="11"/>
      <c r="J52" s="9" t="s">
        <v>3</v>
      </c>
      <c r="K52" s="9" t="s">
        <v>3</v>
      </c>
      <c r="L52" s="9" t="s">
        <v>3</v>
      </c>
      <c r="M52" s="9" t="s">
        <v>5</v>
      </c>
      <c r="N52" s="9" t="s">
        <v>3</v>
      </c>
      <c r="O52" s="3" t="s">
        <v>146</v>
      </c>
    </row>
    <row r="53" spans="1:16">
      <c r="A53" s="2">
        <v>52</v>
      </c>
      <c r="B53" s="3" t="s">
        <v>31</v>
      </c>
      <c r="C53" s="2" t="s">
        <v>28</v>
      </c>
      <c r="D53" s="2" t="s">
        <v>5</v>
      </c>
      <c r="E53" s="1" t="s">
        <v>144</v>
      </c>
      <c r="F53" s="14" t="s">
        <v>145</v>
      </c>
      <c r="G53" s="10" t="str">
        <f t="shared" si="0"/>
        <v>QAESYARA SITI ZAFNA FITRIYADI</v>
      </c>
      <c r="H53" s="14" t="s">
        <v>98</v>
      </c>
      <c r="I53" s="11"/>
      <c r="J53" s="9" t="s">
        <v>3</v>
      </c>
      <c r="K53" s="9" t="s">
        <v>3</v>
      </c>
      <c r="L53" s="9" t="s">
        <v>3</v>
      </c>
      <c r="M53" s="9" t="s">
        <v>3</v>
      </c>
      <c r="N53" s="9" t="s">
        <v>3</v>
      </c>
      <c r="O53" s="3" t="s">
        <v>146</v>
      </c>
    </row>
    <row r="54" spans="1:16">
      <c r="A54" s="2">
        <v>53</v>
      </c>
      <c r="B54" s="3" t="s">
        <v>31</v>
      </c>
      <c r="C54" s="2" t="s">
        <v>3</v>
      </c>
      <c r="D54" s="2" t="s">
        <v>4</v>
      </c>
      <c r="E54" s="1" t="s">
        <v>148</v>
      </c>
      <c r="F54" s="10" t="s">
        <v>149</v>
      </c>
      <c r="G54" s="10" t="str">
        <f t="shared" si="0"/>
        <v>FAEYZA IZZATUL KHAIRY</v>
      </c>
      <c r="H54" s="14" t="s">
        <v>65</v>
      </c>
      <c r="I54" s="11"/>
      <c r="J54" s="9" t="s">
        <v>3</v>
      </c>
      <c r="K54" s="9" t="s">
        <v>3</v>
      </c>
      <c r="L54" s="9" t="s">
        <v>5</v>
      </c>
      <c r="M54" s="9" t="s">
        <v>3</v>
      </c>
      <c r="N54" s="9" t="s">
        <v>3</v>
      </c>
      <c r="O54" s="3" t="s">
        <v>147</v>
      </c>
    </row>
    <row r="55" spans="1:16">
      <c r="A55" s="2">
        <v>54</v>
      </c>
      <c r="B55" s="3" t="s">
        <v>31</v>
      </c>
      <c r="C55" s="2" t="s">
        <v>5</v>
      </c>
      <c r="D55" s="2" t="s">
        <v>4</v>
      </c>
      <c r="E55" s="1" t="s">
        <v>154</v>
      </c>
      <c r="F55" s="10" t="s">
        <v>155</v>
      </c>
      <c r="G55" s="10" t="str">
        <f t="shared" si="0"/>
        <v>KHALID MUHAMMAD AFFIQ</v>
      </c>
      <c r="H55" s="14" t="s">
        <v>65</v>
      </c>
      <c r="I55" s="11"/>
      <c r="J55" s="9" t="s">
        <v>3</v>
      </c>
      <c r="K55" s="9" t="s">
        <v>3</v>
      </c>
      <c r="L55" s="9" t="s">
        <v>3</v>
      </c>
      <c r="M55" s="9" t="s">
        <v>3</v>
      </c>
      <c r="N55" s="9" t="s">
        <v>3</v>
      </c>
      <c r="O55" s="3" t="s">
        <v>147</v>
      </c>
    </row>
    <row r="56" spans="1:16">
      <c r="A56" s="2">
        <v>55</v>
      </c>
      <c r="B56" s="3" t="s">
        <v>31</v>
      </c>
      <c r="C56" s="2" t="s">
        <v>4</v>
      </c>
      <c r="D56" s="2" t="s">
        <v>4</v>
      </c>
      <c r="E56" s="1" t="s">
        <v>152</v>
      </c>
      <c r="F56" s="10" t="s">
        <v>153</v>
      </c>
      <c r="G56" s="10" t="str">
        <f t="shared" si="0"/>
        <v>AHADAN NAZKA HARITS</v>
      </c>
      <c r="H56" s="14" t="s">
        <v>63</v>
      </c>
      <c r="I56" s="11"/>
      <c r="J56" s="9" t="s">
        <v>3</v>
      </c>
      <c r="K56" s="9" t="s">
        <v>5</v>
      </c>
      <c r="L56" s="9" t="s">
        <v>3</v>
      </c>
      <c r="M56" s="9" t="s">
        <v>3</v>
      </c>
      <c r="N56" s="9" t="s">
        <v>3</v>
      </c>
      <c r="O56" s="3" t="s">
        <v>147</v>
      </c>
    </row>
    <row r="57" spans="1:16">
      <c r="A57" s="2">
        <v>56</v>
      </c>
      <c r="B57" s="3" t="s">
        <v>31</v>
      </c>
      <c r="C57" s="2" t="s">
        <v>7</v>
      </c>
      <c r="D57" s="2" t="s">
        <v>4</v>
      </c>
      <c r="E57" s="1" t="s">
        <v>150</v>
      </c>
      <c r="F57" s="10" t="s">
        <v>151</v>
      </c>
      <c r="G57" s="10" t="str">
        <f t="shared" si="0"/>
        <v>HANA DWI RINJANI</v>
      </c>
      <c r="H57" s="14" t="s">
        <v>98</v>
      </c>
      <c r="I57" s="11"/>
      <c r="J57" s="9" t="s">
        <v>3</v>
      </c>
      <c r="K57" s="9" t="s">
        <v>3</v>
      </c>
      <c r="L57" s="9" t="s">
        <v>3</v>
      </c>
      <c r="M57" s="9" t="s">
        <v>3</v>
      </c>
      <c r="N57" s="9" t="s">
        <v>3</v>
      </c>
      <c r="O57" s="3" t="s">
        <v>147</v>
      </c>
    </row>
    <row r="58" spans="1:16">
      <c r="A58" s="2">
        <v>57</v>
      </c>
      <c r="B58" s="3" t="s">
        <v>31</v>
      </c>
      <c r="C58" s="2" t="s">
        <v>6</v>
      </c>
      <c r="D58" s="2" t="s">
        <v>4</v>
      </c>
      <c r="E58" s="41" t="s">
        <v>167</v>
      </c>
      <c r="F58" s="41" t="s">
        <v>168</v>
      </c>
      <c r="G58" s="10" t="str">
        <f t="shared" si="0"/>
        <v>MUHAMAD USMAN ALI</v>
      </c>
      <c r="H58" s="14" t="s">
        <v>65</v>
      </c>
      <c r="I58" s="11" t="s">
        <v>166</v>
      </c>
      <c r="J58" s="15" t="s">
        <v>4</v>
      </c>
      <c r="K58" s="15" t="s">
        <v>5</v>
      </c>
      <c r="L58" s="15" t="s">
        <v>5</v>
      </c>
      <c r="M58" s="15" t="s">
        <v>3</v>
      </c>
      <c r="N58" s="15" t="s">
        <v>3</v>
      </c>
      <c r="O58" s="1" t="s">
        <v>162</v>
      </c>
    </row>
    <row r="59" spans="1:16">
      <c r="A59" s="2">
        <v>58</v>
      </c>
      <c r="B59" s="3" t="s">
        <v>31</v>
      </c>
      <c r="C59" s="2" t="s">
        <v>8</v>
      </c>
      <c r="D59" s="2" t="s">
        <v>4</v>
      </c>
      <c r="E59" s="1" t="s">
        <v>156</v>
      </c>
      <c r="F59" s="14" t="s">
        <v>157</v>
      </c>
      <c r="G59" s="10" t="str">
        <f t="shared" si="0"/>
        <v>ABDURRAMAN UMAR</v>
      </c>
      <c r="H59" s="14" t="s">
        <v>63</v>
      </c>
      <c r="I59" s="37"/>
      <c r="J59" s="9"/>
      <c r="K59" s="9"/>
      <c r="L59" s="9"/>
      <c r="M59" s="9"/>
      <c r="N59" s="9"/>
      <c r="O59" s="1" t="s">
        <v>162</v>
      </c>
      <c r="P59" s="4" t="s">
        <v>169</v>
      </c>
    </row>
    <row r="60" spans="1:16">
      <c r="A60" s="2">
        <v>59</v>
      </c>
      <c r="B60" s="3" t="s">
        <v>31</v>
      </c>
      <c r="C60" s="2" t="s">
        <v>9</v>
      </c>
      <c r="D60" s="2" t="s">
        <v>4</v>
      </c>
      <c r="E60" s="1" t="s">
        <v>158</v>
      </c>
      <c r="F60" s="14" t="s">
        <v>159</v>
      </c>
      <c r="G60" s="10" t="str">
        <f t="shared" si="0"/>
        <v>NIZAR</v>
      </c>
      <c r="H60" s="14" t="s">
        <v>63</v>
      </c>
      <c r="I60" s="11"/>
      <c r="J60" s="9"/>
      <c r="K60" s="9"/>
      <c r="L60" s="9"/>
      <c r="M60" s="9"/>
      <c r="N60" s="9"/>
      <c r="O60" s="1" t="s">
        <v>162</v>
      </c>
      <c r="P60" s="4" t="s">
        <v>169</v>
      </c>
    </row>
    <row r="61" spans="1:16">
      <c r="A61" s="2">
        <v>60</v>
      </c>
      <c r="B61" s="3" t="s">
        <v>31</v>
      </c>
      <c r="C61" s="2" t="s">
        <v>10</v>
      </c>
      <c r="D61" s="2" t="s">
        <v>4</v>
      </c>
      <c r="E61" s="1" t="s">
        <v>160</v>
      </c>
      <c r="F61" s="14" t="s">
        <v>161</v>
      </c>
      <c r="G61" s="10" t="str">
        <f t="shared" si="0"/>
        <v>ADHYASTA WIDYADHANA</v>
      </c>
      <c r="H61" s="14" t="s">
        <v>63</v>
      </c>
      <c r="I61" s="11"/>
      <c r="J61" s="9"/>
      <c r="K61" s="9"/>
      <c r="L61" s="9"/>
      <c r="M61" s="9"/>
      <c r="N61" s="9"/>
      <c r="O61" s="1" t="s">
        <v>162</v>
      </c>
      <c r="P61" s="4" t="s">
        <v>169</v>
      </c>
    </row>
    <row r="62" spans="1:16">
      <c r="A62" s="2">
        <v>61</v>
      </c>
      <c r="B62" s="3" t="s">
        <v>31</v>
      </c>
      <c r="C62" s="2" t="s">
        <v>11</v>
      </c>
      <c r="D62" s="2" t="s">
        <v>4</v>
      </c>
      <c r="E62" s="15" t="s">
        <v>163</v>
      </c>
      <c r="F62" s="41" t="s">
        <v>164</v>
      </c>
      <c r="G62" s="10" t="str">
        <f t="shared" si="0"/>
        <v>ALIFADHILAH IRHAB HAUZAN</v>
      </c>
      <c r="H62" s="14" t="s">
        <v>63</v>
      </c>
      <c r="I62" s="11"/>
      <c r="J62" s="9"/>
      <c r="K62" s="9"/>
      <c r="L62" s="9"/>
      <c r="M62" s="9"/>
      <c r="N62" s="9"/>
      <c r="O62" s="1" t="s">
        <v>162</v>
      </c>
      <c r="P62" s="4" t="s">
        <v>169</v>
      </c>
    </row>
    <row r="63" spans="1:16">
      <c r="A63" s="2">
        <v>62</v>
      </c>
      <c r="B63" s="3" t="s">
        <v>31</v>
      </c>
      <c r="C63" s="2" t="s">
        <v>12</v>
      </c>
      <c r="D63" s="2" t="s">
        <v>4</v>
      </c>
      <c r="E63" s="41" t="s">
        <v>170</v>
      </c>
      <c r="F63" s="41" t="s">
        <v>171</v>
      </c>
      <c r="G63" s="10" t="str">
        <f t="shared" si="0"/>
        <v>PUTRA PERDANA</v>
      </c>
      <c r="H63" s="43" t="s">
        <v>65</v>
      </c>
      <c r="I63" s="11" t="s">
        <v>166</v>
      </c>
      <c r="J63" s="15" t="s">
        <v>4</v>
      </c>
      <c r="K63" s="15" t="s">
        <v>5</v>
      </c>
      <c r="L63" s="15" t="s">
        <v>3</v>
      </c>
      <c r="M63" s="15" t="s">
        <v>5</v>
      </c>
      <c r="N63" s="15" t="s">
        <v>3</v>
      </c>
      <c r="O63" s="3" t="s">
        <v>184</v>
      </c>
    </row>
    <row r="64" spans="1:16">
      <c r="A64" s="2">
        <v>63</v>
      </c>
      <c r="B64" s="3" t="s">
        <v>31</v>
      </c>
      <c r="C64" s="2" t="s">
        <v>13</v>
      </c>
      <c r="D64" s="2" t="s">
        <v>4</v>
      </c>
      <c r="E64" s="41" t="s">
        <v>172</v>
      </c>
      <c r="F64" s="41" t="s">
        <v>173</v>
      </c>
      <c r="G64" s="10" t="str">
        <f t="shared" si="0"/>
        <v>FATIH KENZIE DZULIAN ANADO</v>
      </c>
      <c r="H64" s="43" t="s">
        <v>65</v>
      </c>
      <c r="I64" s="11" t="s">
        <v>166</v>
      </c>
      <c r="J64" s="15" t="s">
        <v>3</v>
      </c>
      <c r="K64" s="15" t="s">
        <v>3</v>
      </c>
      <c r="L64" s="15" t="s">
        <v>3</v>
      </c>
      <c r="M64" s="15" t="s">
        <v>5</v>
      </c>
      <c r="N64" s="15" t="s">
        <v>3</v>
      </c>
      <c r="O64" s="3" t="s">
        <v>184</v>
      </c>
    </row>
    <row r="65" spans="1:15">
      <c r="A65" s="2">
        <v>64</v>
      </c>
      <c r="B65" s="3" t="s">
        <v>31</v>
      </c>
      <c r="C65" s="2" t="s">
        <v>14</v>
      </c>
      <c r="D65" s="2" t="s">
        <v>4</v>
      </c>
      <c r="E65" s="41" t="s">
        <v>175</v>
      </c>
      <c r="F65" s="41" t="s">
        <v>174</v>
      </c>
      <c r="G65" s="10" t="str">
        <f t="shared" si="0"/>
        <v>SHAFWAN IYADH ADDARIMY</v>
      </c>
      <c r="H65" s="41" t="s">
        <v>65</v>
      </c>
      <c r="I65" s="11" t="s">
        <v>166</v>
      </c>
      <c r="J65" s="15" t="s">
        <v>3</v>
      </c>
      <c r="K65" s="15" t="s">
        <v>5</v>
      </c>
      <c r="L65" s="15" t="s">
        <v>3</v>
      </c>
      <c r="M65" s="15" t="s">
        <v>3</v>
      </c>
      <c r="N65" s="15" t="s">
        <v>3</v>
      </c>
      <c r="O65" s="3" t="s">
        <v>184</v>
      </c>
    </row>
    <row r="66" spans="1:15">
      <c r="A66" s="2">
        <v>65</v>
      </c>
      <c r="B66" s="3" t="s">
        <v>31</v>
      </c>
      <c r="C66" s="2" t="s">
        <v>15</v>
      </c>
      <c r="D66" s="2" t="s">
        <v>4</v>
      </c>
      <c r="E66" s="41" t="s">
        <v>177</v>
      </c>
      <c r="F66" s="41" t="s">
        <v>176</v>
      </c>
      <c r="G66" s="10" t="str">
        <f t="shared" si="0"/>
        <v>ESHAN KAZIM</v>
      </c>
      <c r="H66" s="41" t="s">
        <v>65</v>
      </c>
      <c r="I66" s="11" t="s">
        <v>166</v>
      </c>
      <c r="J66" s="15" t="s">
        <v>3</v>
      </c>
      <c r="K66" s="15" t="s">
        <v>3</v>
      </c>
      <c r="L66" s="15" t="s">
        <v>3</v>
      </c>
      <c r="M66" s="15" t="s">
        <v>3</v>
      </c>
      <c r="N66" s="15" t="s">
        <v>3</v>
      </c>
      <c r="O66" s="3" t="s">
        <v>184</v>
      </c>
    </row>
    <row r="67" spans="1:15">
      <c r="A67" s="2">
        <v>66</v>
      </c>
      <c r="B67" s="3" t="s">
        <v>31</v>
      </c>
      <c r="C67" s="2" t="s">
        <v>16</v>
      </c>
      <c r="D67" s="2" t="s">
        <v>4</v>
      </c>
      <c r="E67" s="41"/>
      <c r="F67" s="41"/>
      <c r="G67" s="10"/>
      <c r="H67" s="41"/>
      <c r="I67" s="37"/>
      <c r="J67" s="15"/>
      <c r="K67" s="15"/>
      <c r="L67" s="15"/>
      <c r="M67" s="15"/>
      <c r="N67" s="15"/>
      <c r="O67" s="3"/>
    </row>
    <row r="68" spans="1:15">
      <c r="A68" s="2">
        <v>67</v>
      </c>
      <c r="B68" s="3" t="s">
        <v>31</v>
      </c>
      <c r="C68" s="2" t="s">
        <v>17</v>
      </c>
      <c r="D68" s="2" t="s">
        <v>4</v>
      </c>
      <c r="E68" s="41" t="s">
        <v>179</v>
      </c>
      <c r="F68" s="41" t="s">
        <v>178</v>
      </c>
      <c r="G68" s="10" t="str">
        <f t="shared" ref="G68:G85" si="1">UPPER(F68)</f>
        <v>RIZKIA AULIA AZ ZAHRA</v>
      </c>
      <c r="H68" s="41" t="s">
        <v>98</v>
      </c>
      <c r="I68" s="11" t="s">
        <v>166</v>
      </c>
      <c r="J68" s="15" t="s">
        <v>3</v>
      </c>
      <c r="K68" s="15" t="s">
        <v>3</v>
      </c>
      <c r="L68" s="15" t="s">
        <v>5</v>
      </c>
      <c r="M68" s="15" t="s">
        <v>3</v>
      </c>
      <c r="N68" s="15" t="s">
        <v>3</v>
      </c>
      <c r="O68" s="3" t="s">
        <v>184</v>
      </c>
    </row>
    <row r="69" spans="1:15">
      <c r="A69" s="2">
        <v>68</v>
      </c>
      <c r="B69" s="3" t="s">
        <v>31</v>
      </c>
      <c r="C69" s="2" t="s">
        <v>18</v>
      </c>
      <c r="D69" s="2" t="s">
        <v>4</v>
      </c>
      <c r="E69" s="41" t="s">
        <v>181</v>
      </c>
      <c r="F69" s="41" t="s">
        <v>180</v>
      </c>
      <c r="G69" s="10" t="str">
        <f t="shared" si="1"/>
        <v>SYAHIRA ZAHRATUL ISLAM</v>
      </c>
      <c r="H69" s="41" t="s">
        <v>98</v>
      </c>
      <c r="I69" s="11" t="s">
        <v>166</v>
      </c>
      <c r="J69" s="15" t="s">
        <v>3</v>
      </c>
      <c r="K69" s="15" t="s">
        <v>3</v>
      </c>
      <c r="L69" s="15" t="s">
        <v>3</v>
      </c>
      <c r="M69" s="15" t="s">
        <v>3</v>
      </c>
      <c r="N69" s="15" t="s">
        <v>3</v>
      </c>
      <c r="O69" s="3" t="s">
        <v>184</v>
      </c>
    </row>
    <row r="70" spans="1:15">
      <c r="A70" s="2">
        <v>69</v>
      </c>
      <c r="B70" s="3" t="s">
        <v>31</v>
      </c>
      <c r="C70" s="2" t="s">
        <v>19</v>
      </c>
      <c r="D70" s="2" t="s">
        <v>4</v>
      </c>
      <c r="E70" s="41" t="s">
        <v>183</v>
      </c>
      <c r="F70" s="41" t="s">
        <v>182</v>
      </c>
      <c r="G70" s="10" t="str">
        <f t="shared" si="1"/>
        <v>ALIKA AISYAH PUTRI</v>
      </c>
      <c r="H70" s="41" t="s">
        <v>98</v>
      </c>
      <c r="I70" s="11" t="s">
        <v>166</v>
      </c>
      <c r="J70" s="15" t="s">
        <v>3</v>
      </c>
      <c r="K70" s="15" t="s">
        <v>3</v>
      </c>
      <c r="L70" s="15" t="s">
        <v>3</v>
      </c>
      <c r="M70" s="15" t="s">
        <v>3</v>
      </c>
      <c r="N70" s="15" t="s">
        <v>3</v>
      </c>
      <c r="O70" s="3" t="s">
        <v>184</v>
      </c>
    </row>
    <row r="71" spans="1:15">
      <c r="A71" s="2">
        <v>70</v>
      </c>
      <c r="B71" s="3" t="s">
        <v>31</v>
      </c>
      <c r="C71" s="2" t="s">
        <v>20</v>
      </c>
      <c r="D71" s="2" t="s">
        <v>4</v>
      </c>
      <c r="E71" s="41" t="s">
        <v>185</v>
      </c>
      <c r="F71" s="41" t="s">
        <v>186</v>
      </c>
      <c r="G71" s="10" t="str">
        <f t="shared" si="1"/>
        <v>HIBBAN HIBATURRAHMAN</v>
      </c>
      <c r="H71" s="41" t="s">
        <v>63</v>
      </c>
      <c r="I71" s="37"/>
      <c r="J71" s="44"/>
      <c r="K71" s="44"/>
      <c r="L71" s="44"/>
      <c r="M71" s="44"/>
      <c r="N71" s="44"/>
      <c r="O71" s="3" t="s">
        <v>197</v>
      </c>
    </row>
    <row r="72" spans="1:15">
      <c r="A72" s="2">
        <v>71</v>
      </c>
      <c r="B72" s="3" t="s">
        <v>31</v>
      </c>
      <c r="C72" s="2" t="s">
        <v>21</v>
      </c>
      <c r="D72" s="2" t="s">
        <v>4</v>
      </c>
      <c r="E72" s="41" t="s">
        <v>189</v>
      </c>
      <c r="F72" s="41" t="s">
        <v>190</v>
      </c>
      <c r="G72" s="10" t="str">
        <f t="shared" si="1"/>
        <v>FATHAN SYAHRIL SUSENO</v>
      </c>
      <c r="H72" s="41" t="s">
        <v>63</v>
      </c>
      <c r="I72" s="37"/>
      <c r="J72" s="44"/>
      <c r="K72" s="44"/>
      <c r="L72" s="44"/>
      <c r="M72" s="44"/>
      <c r="N72" s="44"/>
      <c r="O72" s="3" t="s">
        <v>197</v>
      </c>
    </row>
    <row r="73" spans="1:15">
      <c r="A73" s="2">
        <v>72</v>
      </c>
      <c r="B73" s="3" t="s">
        <v>31</v>
      </c>
      <c r="C73" s="2" t="s">
        <v>22</v>
      </c>
      <c r="D73" s="2" t="s">
        <v>4</v>
      </c>
      <c r="E73" s="41" t="s">
        <v>191</v>
      </c>
      <c r="F73" s="41" t="s">
        <v>192</v>
      </c>
      <c r="G73" s="10" t="str">
        <f t="shared" si="1"/>
        <v>MUHAMMAD IRSYAD</v>
      </c>
      <c r="H73" s="41" t="s">
        <v>63</v>
      </c>
      <c r="I73" s="37"/>
      <c r="J73" s="44"/>
      <c r="K73" s="44"/>
      <c r="L73" s="44"/>
      <c r="M73" s="44"/>
      <c r="N73" s="44"/>
      <c r="O73" s="3" t="s">
        <v>197</v>
      </c>
    </row>
    <row r="74" spans="1:15">
      <c r="A74" s="2">
        <v>73</v>
      </c>
      <c r="B74" s="3" t="s">
        <v>31</v>
      </c>
      <c r="C74" s="2" t="s">
        <v>23</v>
      </c>
      <c r="D74" s="2" t="s">
        <v>4</v>
      </c>
      <c r="E74" s="41" t="s">
        <v>214</v>
      </c>
      <c r="F74" s="41" t="s">
        <v>213</v>
      </c>
      <c r="G74" s="10" t="str">
        <f t="shared" si="1"/>
        <v>SUHAIL AIMAN</v>
      </c>
      <c r="H74" s="41" t="s">
        <v>65</v>
      </c>
      <c r="I74" s="37" t="s">
        <v>166</v>
      </c>
      <c r="J74" s="15" t="s">
        <v>3</v>
      </c>
      <c r="K74" s="15" t="s">
        <v>3</v>
      </c>
      <c r="L74" s="15" t="s">
        <v>3</v>
      </c>
      <c r="M74" s="15" t="s">
        <v>3</v>
      </c>
      <c r="N74" s="15" t="s">
        <v>3</v>
      </c>
      <c r="O74" s="3" t="s">
        <v>197</v>
      </c>
    </row>
    <row r="75" spans="1:15">
      <c r="A75" s="2">
        <v>74</v>
      </c>
      <c r="B75" s="3" t="s">
        <v>31</v>
      </c>
      <c r="C75" s="2" t="s">
        <v>24</v>
      </c>
      <c r="D75" s="2" t="s">
        <v>4</v>
      </c>
      <c r="E75" s="41" t="s">
        <v>216</v>
      </c>
      <c r="F75" s="41" t="s">
        <v>215</v>
      </c>
      <c r="G75" s="10" t="str">
        <f t="shared" si="1"/>
        <v>ABDURRAHMAN</v>
      </c>
      <c r="H75" s="41" t="s">
        <v>65</v>
      </c>
      <c r="I75" s="37" t="s">
        <v>166</v>
      </c>
      <c r="J75" s="15" t="s">
        <v>3</v>
      </c>
      <c r="K75" s="15" t="s">
        <v>3</v>
      </c>
      <c r="L75" s="15" t="s">
        <v>3</v>
      </c>
      <c r="M75" s="15" t="s">
        <v>3</v>
      </c>
      <c r="N75" s="15" t="s">
        <v>3</v>
      </c>
      <c r="O75" s="3" t="s">
        <v>197</v>
      </c>
    </row>
    <row r="76" spans="1:15">
      <c r="A76" s="2">
        <v>75</v>
      </c>
      <c r="B76" s="3" t="s">
        <v>31</v>
      </c>
      <c r="C76" s="2" t="s">
        <v>25</v>
      </c>
      <c r="D76" s="2" t="s">
        <v>4</v>
      </c>
      <c r="E76" s="41" t="s">
        <v>218</v>
      </c>
      <c r="F76" s="41" t="s">
        <v>217</v>
      </c>
      <c r="G76" s="10" t="str">
        <f t="shared" si="1"/>
        <v>ABBAS RAIHAN</v>
      </c>
      <c r="H76" s="41" t="s">
        <v>63</v>
      </c>
      <c r="I76" s="37"/>
      <c r="J76" s="15" t="s">
        <v>5</v>
      </c>
      <c r="K76" s="15" t="s">
        <v>3</v>
      </c>
      <c r="L76" s="15" t="s">
        <v>3</v>
      </c>
      <c r="M76" s="15" t="s">
        <v>3</v>
      </c>
      <c r="N76" s="15" t="s">
        <v>4</v>
      </c>
      <c r="O76" s="3" t="s">
        <v>197</v>
      </c>
    </row>
    <row r="77" spans="1:15">
      <c r="A77" s="2">
        <v>76</v>
      </c>
      <c r="B77" s="3" t="s">
        <v>31</v>
      </c>
      <c r="C77" s="2" t="s">
        <v>26</v>
      </c>
      <c r="D77" s="2" t="s">
        <v>4</v>
      </c>
      <c r="E77" s="41" t="s">
        <v>220</v>
      </c>
      <c r="F77" s="41" t="s">
        <v>219</v>
      </c>
      <c r="G77" s="10" t="str">
        <f t="shared" si="1"/>
        <v>BISMA ADHI SAPUTRA</v>
      </c>
      <c r="H77" s="41" t="s">
        <v>63</v>
      </c>
      <c r="I77" s="37"/>
      <c r="J77" s="15" t="s">
        <v>3</v>
      </c>
      <c r="K77" s="15" t="s">
        <v>4</v>
      </c>
      <c r="L77" s="15" t="s">
        <v>3</v>
      </c>
      <c r="M77" s="15" t="s">
        <v>5</v>
      </c>
      <c r="N77" s="15" t="s">
        <v>3</v>
      </c>
      <c r="O77" s="3" t="s">
        <v>197</v>
      </c>
    </row>
    <row r="78" spans="1:15">
      <c r="A78" s="2">
        <v>77</v>
      </c>
      <c r="B78" s="3" t="s">
        <v>31</v>
      </c>
      <c r="C78" s="2" t="s">
        <v>27</v>
      </c>
      <c r="D78" s="2" t="s">
        <v>4</v>
      </c>
      <c r="E78" s="41" t="s">
        <v>222</v>
      </c>
      <c r="F78" s="41" t="s">
        <v>221</v>
      </c>
      <c r="G78" s="10" t="str">
        <f t="shared" si="1"/>
        <v>ADLIN AR RIHAILY</v>
      </c>
      <c r="H78" s="41" t="s">
        <v>98</v>
      </c>
      <c r="I78" s="37" t="s">
        <v>166</v>
      </c>
      <c r="J78" s="15" t="s">
        <v>3</v>
      </c>
      <c r="K78" s="15" t="s">
        <v>3</v>
      </c>
      <c r="L78" s="15" t="s">
        <v>3</v>
      </c>
      <c r="M78" s="15" t="s">
        <v>3</v>
      </c>
      <c r="N78" s="15" t="s">
        <v>3</v>
      </c>
      <c r="O78" s="3" t="s">
        <v>197</v>
      </c>
    </row>
    <row r="79" spans="1:15">
      <c r="A79" s="2">
        <v>78</v>
      </c>
      <c r="B79" s="3" t="s">
        <v>31</v>
      </c>
      <c r="C79" s="2" t="s">
        <v>28</v>
      </c>
      <c r="D79" s="2" t="s">
        <v>4</v>
      </c>
      <c r="E79" s="41" t="s">
        <v>224</v>
      </c>
      <c r="F79" s="41" t="s">
        <v>223</v>
      </c>
      <c r="G79" s="10" t="str">
        <f t="shared" si="1"/>
        <v>ZIHAN MUZAINAH ZEIN</v>
      </c>
      <c r="H79" s="41" t="s">
        <v>98</v>
      </c>
      <c r="I79" s="37" t="s">
        <v>166</v>
      </c>
      <c r="J79" s="15" t="s">
        <v>3</v>
      </c>
      <c r="K79" s="15" t="s">
        <v>3</v>
      </c>
      <c r="L79" s="15" t="s">
        <v>3</v>
      </c>
      <c r="M79" s="15" t="s">
        <v>3</v>
      </c>
      <c r="N79" s="15" t="s">
        <v>3</v>
      </c>
      <c r="O79" s="3" t="s">
        <v>197</v>
      </c>
    </row>
    <row r="80" spans="1:15">
      <c r="A80" s="2">
        <v>79</v>
      </c>
      <c r="B80" s="3" t="s">
        <v>31</v>
      </c>
      <c r="C80" s="2" t="s">
        <v>3</v>
      </c>
      <c r="D80" s="2" t="s">
        <v>6</v>
      </c>
      <c r="E80" s="41" t="s">
        <v>226</v>
      </c>
      <c r="F80" s="41" t="s">
        <v>225</v>
      </c>
      <c r="G80" s="10" t="str">
        <f t="shared" si="1"/>
        <v>NAJLA ULFA</v>
      </c>
      <c r="H80" s="41" t="s">
        <v>61</v>
      </c>
      <c r="I80" s="37"/>
      <c r="J80" s="15" t="s">
        <v>3</v>
      </c>
      <c r="K80" s="15" t="s">
        <v>5</v>
      </c>
      <c r="L80" s="15" t="s">
        <v>3</v>
      </c>
      <c r="M80" s="15" t="s">
        <v>3</v>
      </c>
      <c r="N80" s="15" t="s">
        <v>3</v>
      </c>
      <c r="O80" s="3" t="s">
        <v>197</v>
      </c>
    </row>
    <row r="81" spans="1:15">
      <c r="A81" s="2">
        <v>80</v>
      </c>
      <c r="B81" s="3" t="s">
        <v>31</v>
      </c>
      <c r="C81" s="2" t="s">
        <v>5</v>
      </c>
      <c r="D81" s="2" t="s">
        <v>6</v>
      </c>
      <c r="E81" s="41" t="s">
        <v>228</v>
      </c>
      <c r="F81" s="41" t="s">
        <v>227</v>
      </c>
      <c r="G81" s="10" t="str">
        <f t="shared" si="1"/>
        <v>FARUQ AHMAD ASY-SYIRBUNI</v>
      </c>
      <c r="H81" s="41" t="s">
        <v>65</v>
      </c>
      <c r="I81" s="37" t="s">
        <v>166</v>
      </c>
      <c r="J81" s="15" t="s">
        <v>3</v>
      </c>
      <c r="K81" s="15" t="s">
        <v>5</v>
      </c>
      <c r="L81" s="15" t="s">
        <v>3</v>
      </c>
      <c r="M81" s="15" t="s">
        <v>3</v>
      </c>
      <c r="N81" s="15" t="s">
        <v>3</v>
      </c>
      <c r="O81" s="3" t="s">
        <v>237</v>
      </c>
    </row>
    <row r="82" spans="1:15">
      <c r="A82" s="2">
        <v>81</v>
      </c>
      <c r="B82" s="3" t="s">
        <v>31</v>
      </c>
      <c r="C82" s="2" t="s">
        <v>4</v>
      </c>
      <c r="D82" s="2" t="s">
        <v>6</v>
      </c>
      <c r="E82" s="41" t="s">
        <v>230</v>
      </c>
      <c r="F82" s="41" t="s">
        <v>229</v>
      </c>
      <c r="G82" s="10" t="str">
        <f t="shared" si="1"/>
        <v>AHMAD KAMALUDI</v>
      </c>
      <c r="H82" s="41" t="s">
        <v>65</v>
      </c>
      <c r="I82" s="37" t="s">
        <v>166</v>
      </c>
      <c r="J82" s="15" t="s">
        <v>3</v>
      </c>
      <c r="K82" s="15" t="s">
        <v>3</v>
      </c>
      <c r="L82" s="15" t="s">
        <v>3</v>
      </c>
      <c r="M82" s="15" t="s">
        <v>5</v>
      </c>
      <c r="N82" s="15" t="s">
        <v>3</v>
      </c>
      <c r="O82" s="3" t="s">
        <v>237</v>
      </c>
    </row>
    <row r="83" spans="1:15">
      <c r="A83" s="2">
        <v>82</v>
      </c>
      <c r="B83" s="3" t="s">
        <v>31</v>
      </c>
      <c r="C83" s="2" t="s">
        <v>6</v>
      </c>
      <c r="D83" s="2" t="s">
        <v>6</v>
      </c>
      <c r="E83" s="41" t="s">
        <v>236</v>
      </c>
      <c r="F83" s="41" t="s">
        <v>235</v>
      </c>
      <c r="G83" s="10" t="str">
        <f t="shared" si="1"/>
        <v>NAISYA TAZQIA QOLBI</v>
      </c>
      <c r="H83" s="41" t="s">
        <v>61</v>
      </c>
      <c r="I83" s="37"/>
      <c r="J83" s="15" t="s">
        <v>3</v>
      </c>
      <c r="K83" s="15" t="s">
        <v>4</v>
      </c>
      <c r="L83" s="15" t="s">
        <v>3</v>
      </c>
      <c r="M83" s="15" t="s">
        <v>3</v>
      </c>
      <c r="N83" s="15" t="s">
        <v>3</v>
      </c>
      <c r="O83" s="3" t="s">
        <v>237</v>
      </c>
    </row>
    <row r="84" spans="1:15">
      <c r="A84" s="2">
        <v>83</v>
      </c>
      <c r="B84" s="3" t="s">
        <v>31</v>
      </c>
      <c r="C84" s="2" t="s">
        <v>7</v>
      </c>
      <c r="D84" s="2" t="s">
        <v>6</v>
      </c>
      <c r="E84" s="41" t="s">
        <v>234</v>
      </c>
      <c r="F84" s="41" t="s">
        <v>233</v>
      </c>
      <c r="G84" s="10" t="str">
        <f t="shared" si="1"/>
        <v>UNAYSAH</v>
      </c>
      <c r="H84" s="41" t="s">
        <v>61</v>
      </c>
      <c r="I84" s="37"/>
      <c r="J84" s="15" t="s">
        <v>3</v>
      </c>
      <c r="K84" s="15" t="s">
        <v>3</v>
      </c>
      <c r="L84" s="15" t="s">
        <v>3</v>
      </c>
      <c r="M84" s="15" t="s">
        <v>3</v>
      </c>
      <c r="N84" s="15" t="s">
        <v>3</v>
      </c>
      <c r="O84" s="3" t="s">
        <v>237</v>
      </c>
    </row>
    <row r="85" spans="1:15">
      <c r="A85" s="2">
        <v>84</v>
      </c>
      <c r="B85" s="3" t="s">
        <v>31</v>
      </c>
      <c r="C85" s="2" t="s">
        <v>8</v>
      </c>
      <c r="D85" s="2" t="s">
        <v>6</v>
      </c>
      <c r="E85" s="41" t="s">
        <v>232</v>
      </c>
      <c r="F85" s="41" t="s">
        <v>231</v>
      </c>
      <c r="G85" s="10" t="str">
        <f t="shared" si="1"/>
        <v>NIDAUL HUSNA</v>
      </c>
      <c r="H85" s="41" t="s">
        <v>61</v>
      </c>
      <c r="I85" s="37"/>
      <c r="J85" s="15" t="s">
        <v>3</v>
      </c>
      <c r="K85" s="15" t="s">
        <v>5</v>
      </c>
      <c r="L85" s="15" t="s">
        <v>3</v>
      </c>
      <c r="M85" s="15" t="s">
        <v>3</v>
      </c>
      <c r="N85" s="15" t="s">
        <v>3</v>
      </c>
      <c r="O85" s="3" t="s">
        <v>237</v>
      </c>
    </row>
    <row r="86" spans="1:15">
      <c r="A86" s="2">
        <v>85</v>
      </c>
      <c r="B86" s="3" t="s">
        <v>31</v>
      </c>
      <c r="C86" s="2" t="s">
        <v>9</v>
      </c>
      <c r="D86" s="2" t="s">
        <v>6</v>
      </c>
      <c r="E86" s="41" t="str">
        <f ca="1">IFERROR(__xludf.DUMMYFUNCTION("""COMPUTED_VALUE"""),"A250031")</f>
        <v>A250031</v>
      </c>
      <c r="F86" s="45" t="str">
        <f ca="1">IFERROR(__xludf.DUMMYFUNCTION("""COMPUTED_VALUE"""),"FATAN IHYA AS-SUNNAH")</f>
        <v>FATAN IHYA AS-SUNNAH</v>
      </c>
      <c r="G86" s="10" t="str">
        <f t="shared" ref="G86:G112" ca="1" si="2">UPPER(F86)</f>
        <v>FATAN IHYA AS-SUNNAH</v>
      </c>
      <c r="H86" s="45" t="str">
        <f ca="1">IFERROR(__xludf.DUMMYFUNCTION("""COMPUTED_VALUE"""),"MTs Putra")</f>
        <v>MTs Putra</v>
      </c>
      <c r="I86" s="37" t="s">
        <v>166</v>
      </c>
      <c r="J86" s="46" t="str">
        <f ca="1">IFERROR(__xludf.DUMMYFUNCTION("""COMPUTED_VALUE"""),"A")</f>
        <v>A</v>
      </c>
      <c r="K86" s="46" t="str">
        <f ca="1">IFERROR(__xludf.DUMMYFUNCTION("""COMPUTED_VALUE"""),"C")</f>
        <v>C</v>
      </c>
      <c r="L86" s="46" t="str">
        <f ca="1">IFERROR(__xludf.DUMMYFUNCTION("""COMPUTED_VALUE"""),"A")</f>
        <v>A</v>
      </c>
      <c r="M86" s="46" t="str">
        <f ca="1">IFERROR(__xludf.DUMMYFUNCTION("""COMPUTED_VALUE"""),"A")</f>
        <v>A</v>
      </c>
      <c r="N86" s="46" t="str">
        <f ca="1">IFERROR(__xludf.DUMMYFUNCTION("""COMPUTED_VALUE"""),"A")</f>
        <v>A</v>
      </c>
      <c r="O86" s="3" t="s">
        <v>238</v>
      </c>
    </row>
    <row r="87" spans="1:15">
      <c r="A87" s="2">
        <v>86</v>
      </c>
      <c r="B87" s="3" t="s">
        <v>31</v>
      </c>
      <c r="C87" s="2" t="s">
        <v>11</v>
      </c>
      <c r="D87" s="2" t="s">
        <v>6</v>
      </c>
      <c r="E87" s="41" t="str">
        <f ca="1">IFERROR(__xludf.DUMMYFUNCTION("""COMPUTED_VALUE"""),"A250075")</f>
        <v>A250075</v>
      </c>
      <c r="F87" s="45" t="str">
        <f ca="1">IFERROR(__xludf.DUMMYFUNCTION("""COMPUTED_VALUE"""),"Muhammad Nadhif Raisyauqy")</f>
        <v>Muhammad Nadhif Raisyauqy</v>
      </c>
      <c r="G87" s="10" t="str">
        <f t="shared" ca="1" si="2"/>
        <v>MUHAMMAD NADHIF RAISYAUQY</v>
      </c>
      <c r="H87" s="45" t="str">
        <f ca="1">IFERROR(__xludf.DUMMYFUNCTION("""COMPUTED_VALUE"""),"MTs Putra")</f>
        <v>MTs Putra</v>
      </c>
      <c r="I87" s="37" t="s">
        <v>166</v>
      </c>
      <c r="J87" s="46" t="str">
        <f ca="1">IFERROR(__xludf.DUMMYFUNCTION("""COMPUTED_VALUE"""),"A")</f>
        <v>A</v>
      </c>
      <c r="K87" s="46" t="str">
        <f ca="1">IFERROR(__xludf.DUMMYFUNCTION("""COMPUTED_VALUE"""),"A")</f>
        <v>A</v>
      </c>
      <c r="L87" s="46" t="str">
        <f ca="1">IFERROR(__xludf.DUMMYFUNCTION("""COMPUTED_VALUE"""),"A")</f>
        <v>A</v>
      </c>
      <c r="M87" s="46" t="str">
        <f ca="1">IFERROR(__xludf.DUMMYFUNCTION("""COMPUTED_VALUE"""),"A")</f>
        <v>A</v>
      </c>
      <c r="N87" s="46" t="str">
        <f ca="1">IFERROR(__xludf.DUMMYFUNCTION("""COMPUTED_VALUE"""),"A")</f>
        <v>A</v>
      </c>
      <c r="O87" s="3" t="s">
        <v>238</v>
      </c>
    </row>
    <row r="88" spans="1:15">
      <c r="A88" s="2">
        <v>87</v>
      </c>
      <c r="B88" s="3" t="s">
        <v>31</v>
      </c>
      <c r="C88" s="2" t="s">
        <v>10</v>
      </c>
      <c r="D88" s="2" t="s">
        <v>6</v>
      </c>
      <c r="E88" s="41" t="str">
        <f ca="1">IFERROR(__xludf.DUMMYFUNCTION("""COMPUTED_VALUE"""),"A250082")</f>
        <v>A250082</v>
      </c>
      <c r="F88" s="45" t="str">
        <f ca="1">IFERROR(__xludf.DUMMYFUNCTION("""COMPUTED_VALUE"""),"URWATULWUTSQO")</f>
        <v>URWATULWUTSQO</v>
      </c>
      <c r="G88" s="10" t="str">
        <f t="shared" ca="1" si="2"/>
        <v>URWATULWUTSQO</v>
      </c>
      <c r="H88" s="45" t="str">
        <f ca="1">IFERROR(__xludf.DUMMYFUNCTION("""COMPUTED_VALUE"""),"MTs Putra")</f>
        <v>MTs Putra</v>
      </c>
      <c r="I88" s="37" t="s">
        <v>166</v>
      </c>
      <c r="J88" s="46" t="str">
        <f ca="1">IFERROR(__xludf.DUMMYFUNCTION("""COMPUTED_VALUE"""),"A")</f>
        <v>A</v>
      </c>
      <c r="K88" s="46" t="str">
        <f ca="1">IFERROR(__xludf.DUMMYFUNCTION("""COMPUTED_VALUE"""),"A")</f>
        <v>A</v>
      </c>
      <c r="L88" s="46" t="str">
        <f ca="1">IFERROR(__xludf.DUMMYFUNCTION("""COMPUTED_VALUE"""),"A")</f>
        <v>A</v>
      </c>
      <c r="M88" s="46" t="str">
        <f ca="1">IFERROR(__xludf.DUMMYFUNCTION("""COMPUTED_VALUE"""),"A")</f>
        <v>A</v>
      </c>
      <c r="N88" s="46" t="str">
        <f ca="1">IFERROR(__xludf.DUMMYFUNCTION("""COMPUTED_VALUE"""),"A")</f>
        <v>A</v>
      </c>
      <c r="O88" s="3" t="s">
        <v>238</v>
      </c>
    </row>
    <row r="89" spans="1:15">
      <c r="A89" s="2">
        <v>88</v>
      </c>
      <c r="B89" s="3" t="s">
        <v>31</v>
      </c>
      <c r="C89" s="2" t="s">
        <v>12</v>
      </c>
      <c r="D89" s="2" t="s">
        <v>6</v>
      </c>
      <c r="E89" s="41" t="str">
        <f ca="1">IFERROR(__xludf.DUMMYFUNCTION("""COMPUTED_VALUE"""),"A250084")</f>
        <v>A250084</v>
      </c>
      <c r="F89" s="45" t="str">
        <f ca="1">IFERROR(__xludf.DUMMYFUNCTION("""COMPUTED_VALUE"""),"Rifqi Fathurrohman")</f>
        <v>Rifqi Fathurrohman</v>
      </c>
      <c r="G89" s="10" t="str">
        <f t="shared" ca="1" si="2"/>
        <v>RIFQI FATHURROHMAN</v>
      </c>
      <c r="H89" s="45" t="str">
        <f ca="1">IFERROR(__xludf.DUMMYFUNCTION("""COMPUTED_VALUE"""),"MTs Putra")</f>
        <v>MTs Putra</v>
      </c>
      <c r="I89" s="37" t="s">
        <v>166</v>
      </c>
      <c r="J89" s="46" t="str">
        <f ca="1">IFERROR(__xludf.DUMMYFUNCTION("""COMPUTED_VALUE"""),"A")</f>
        <v>A</v>
      </c>
      <c r="K89" s="46" t="str">
        <f ca="1">IFERROR(__xludf.DUMMYFUNCTION("""COMPUTED_VALUE"""),"A")</f>
        <v>A</v>
      </c>
      <c r="L89" s="46" t="str">
        <f ca="1">IFERROR(__xludf.DUMMYFUNCTION("""COMPUTED_VALUE"""),"A")</f>
        <v>A</v>
      </c>
      <c r="M89" s="46" t="str">
        <f ca="1">IFERROR(__xludf.DUMMYFUNCTION("""COMPUTED_VALUE"""),"A")</f>
        <v>A</v>
      </c>
      <c r="N89" s="46" t="str">
        <f ca="1">IFERROR(__xludf.DUMMYFUNCTION("""COMPUTED_VALUE"""),"A")</f>
        <v>A</v>
      </c>
      <c r="O89" s="3" t="s">
        <v>238</v>
      </c>
    </row>
    <row r="90" spans="1:15">
      <c r="A90" s="2">
        <v>89</v>
      </c>
      <c r="B90" s="3" t="s">
        <v>31</v>
      </c>
      <c r="C90" s="2" t="s">
        <v>13</v>
      </c>
      <c r="D90" s="2" t="s">
        <v>6</v>
      </c>
      <c r="E90" s="41" t="str">
        <f ca="1">IFERROR(__xludf.DUMMYFUNCTION("""COMPUTED_VALUE"""),"B250023")</f>
        <v>B250023</v>
      </c>
      <c r="F90" s="45" t="str">
        <f ca="1">IFERROR(__xludf.DUMMYFUNCTION("""COMPUTED_VALUE"""),"Muhammad Dafa Athallah")</f>
        <v>Muhammad Dafa Athallah</v>
      </c>
      <c r="G90" s="10" t="str">
        <f t="shared" ca="1" si="2"/>
        <v>MUHAMMAD DAFA ATHALLAH</v>
      </c>
      <c r="H90" s="45" t="str">
        <f ca="1">IFERROR(__xludf.DUMMYFUNCTION("""COMPUTED_VALUE"""),"IL Putra")</f>
        <v>IL Putra</v>
      </c>
      <c r="I90" s="37" t="s">
        <v>166</v>
      </c>
      <c r="J90" s="46" t="str">
        <f ca="1">IFERROR(__xludf.DUMMYFUNCTION("""COMPUTED_VALUE"""),"A")</f>
        <v>A</v>
      </c>
      <c r="K90" s="46" t="str">
        <f ca="1">IFERROR(__xludf.DUMMYFUNCTION("""COMPUTED_VALUE"""),"A")</f>
        <v>A</v>
      </c>
      <c r="L90" s="46" t="str">
        <f ca="1">IFERROR(__xludf.DUMMYFUNCTION("""COMPUTED_VALUE"""),"A")</f>
        <v>A</v>
      </c>
      <c r="M90" s="46" t="str">
        <f ca="1">IFERROR(__xludf.DUMMYFUNCTION("""COMPUTED_VALUE"""),"A")</f>
        <v>A</v>
      </c>
      <c r="N90" s="46" t="str">
        <f ca="1">IFERROR(__xludf.DUMMYFUNCTION("""COMPUTED_VALUE"""),"A")</f>
        <v>A</v>
      </c>
      <c r="O90" s="3" t="s">
        <v>238</v>
      </c>
    </row>
    <row r="91" spans="1:15">
      <c r="A91" s="2">
        <v>90</v>
      </c>
      <c r="B91" s="3" t="s">
        <v>31</v>
      </c>
      <c r="C91" s="2" t="s">
        <v>14</v>
      </c>
      <c r="D91" s="2" t="s">
        <v>6</v>
      </c>
      <c r="E91" s="41" t="str">
        <f ca="1">IFERROR(__xludf.DUMMYFUNCTION("""COMPUTED_VALUE"""),"D250032")</f>
        <v>D250032</v>
      </c>
      <c r="F91" s="45" t="str">
        <f ca="1">IFERROR(__xludf.DUMMYFUNCTION("""COMPUTED_VALUE"""),"Aisah")</f>
        <v>Aisah</v>
      </c>
      <c r="G91" s="10" t="str">
        <f t="shared" ca="1" si="2"/>
        <v>AISAH</v>
      </c>
      <c r="H91" s="45" t="str">
        <f ca="1">IFERROR(__xludf.DUMMYFUNCTION("""COMPUTED_VALUE"""),"MTs Putri")</f>
        <v>MTs Putri</v>
      </c>
      <c r="I91" s="37" t="s">
        <v>166</v>
      </c>
      <c r="J91" s="46" t="str">
        <f ca="1">IFERROR(__xludf.DUMMYFUNCTION("""COMPUTED_VALUE"""),"A")</f>
        <v>A</v>
      </c>
      <c r="K91" s="46" t="str">
        <f ca="1">IFERROR(__xludf.DUMMYFUNCTION("""COMPUTED_VALUE"""),"B")</f>
        <v>B</v>
      </c>
      <c r="L91" s="46" t="str">
        <f ca="1">IFERROR(__xludf.DUMMYFUNCTION("""COMPUTED_VALUE"""),"A")</f>
        <v>A</v>
      </c>
      <c r="M91" s="46" t="str">
        <f ca="1">IFERROR(__xludf.DUMMYFUNCTION("""COMPUTED_VALUE"""),"A")</f>
        <v>A</v>
      </c>
      <c r="N91" s="46" t="str">
        <f ca="1">IFERROR(__xludf.DUMMYFUNCTION("""COMPUTED_VALUE"""),"A")</f>
        <v>A</v>
      </c>
      <c r="O91" s="3" t="s">
        <v>238</v>
      </c>
    </row>
    <row r="92" spans="1:15">
      <c r="A92" s="2">
        <v>91</v>
      </c>
      <c r="B92" s="3" t="s">
        <v>31</v>
      </c>
      <c r="C92" s="2" t="s">
        <v>15</v>
      </c>
      <c r="D92" s="2" t="s">
        <v>6</v>
      </c>
      <c r="E92" s="41" t="s">
        <v>244</v>
      </c>
      <c r="F92" s="41" t="s">
        <v>245</v>
      </c>
      <c r="G92" s="10" t="str">
        <f t="shared" si="2"/>
        <v>AMBIA ADDARUQUTNI JULPASA</v>
      </c>
      <c r="H92" s="41" t="s">
        <v>65</v>
      </c>
      <c r="I92" s="37" t="str">
        <f t="shared" ref="I92:I110" si="3">IF(H92="MTs Putra","VII",IF(H92="MTs Putri","VII",IF(H92="IL Putri","",IF(H92="IL Putra",""))))</f>
        <v>VII</v>
      </c>
      <c r="J92" s="44"/>
      <c r="K92" s="44"/>
      <c r="L92" s="44"/>
      <c r="M92" s="44"/>
      <c r="N92" s="44"/>
      <c r="O92" s="3" t="s">
        <v>313</v>
      </c>
    </row>
    <row r="93" spans="1:15">
      <c r="A93" s="2">
        <v>92</v>
      </c>
      <c r="B93" s="3" t="s">
        <v>31</v>
      </c>
      <c r="C93" s="2" t="s">
        <v>16</v>
      </c>
      <c r="D93" s="2" t="s">
        <v>6</v>
      </c>
      <c r="E93" s="41" t="s">
        <v>246</v>
      </c>
      <c r="F93" s="41" t="s">
        <v>247</v>
      </c>
      <c r="G93" s="10" t="str">
        <f t="shared" si="2"/>
        <v>KAFIE ARKAN RAFIQI</v>
      </c>
      <c r="H93" s="41" t="s">
        <v>65</v>
      </c>
      <c r="I93" s="37" t="str">
        <f t="shared" si="3"/>
        <v>VII</v>
      </c>
      <c r="J93" s="44"/>
      <c r="K93" s="44"/>
      <c r="L93" s="44"/>
      <c r="M93" s="44"/>
      <c r="N93" s="44"/>
      <c r="O93" s="3" t="s">
        <v>313</v>
      </c>
    </row>
    <row r="94" spans="1:15">
      <c r="A94" s="2">
        <v>93</v>
      </c>
      <c r="B94" s="3" t="s">
        <v>31</v>
      </c>
      <c r="C94" s="2" t="s">
        <v>17</v>
      </c>
      <c r="D94" s="2" t="s">
        <v>6</v>
      </c>
      <c r="E94" s="41" t="s">
        <v>248</v>
      </c>
      <c r="F94" s="41" t="s">
        <v>249</v>
      </c>
      <c r="G94" s="10" t="str">
        <f t="shared" si="2"/>
        <v>NOUVALLDY FARZANI PRAYOGA</v>
      </c>
      <c r="H94" s="41" t="s">
        <v>65</v>
      </c>
      <c r="I94" s="37" t="str">
        <f t="shared" si="3"/>
        <v>VII</v>
      </c>
      <c r="J94" s="44"/>
      <c r="K94" s="44"/>
      <c r="L94" s="44"/>
      <c r="M94" s="44"/>
      <c r="N94" s="44"/>
      <c r="O94" s="3" t="s">
        <v>313</v>
      </c>
    </row>
    <row r="95" spans="1:15">
      <c r="A95" s="2">
        <v>94</v>
      </c>
      <c r="B95" s="3" t="s">
        <v>31</v>
      </c>
      <c r="C95" s="2" t="s">
        <v>18</v>
      </c>
      <c r="D95" s="2" t="s">
        <v>6</v>
      </c>
      <c r="E95" s="41" t="s">
        <v>250</v>
      </c>
      <c r="F95" s="41" t="s">
        <v>251</v>
      </c>
      <c r="G95" s="10" t="str">
        <f t="shared" si="2"/>
        <v>MUHAMMAD KAMIL ATHAILLAH RIZKI</v>
      </c>
      <c r="H95" s="41" t="s">
        <v>65</v>
      </c>
      <c r="I95" s="37" t="str">
        <f t="shared" si="3"/>
        <v>VII</v>
      </c>
      <c r="J95" s="44"/>
      <c r="K95" s="44"/>
      <c r="L95" s="44"/>
      <c r="M95" s="44"/>
      <c r="N95" s="44"/>
      <c r="O95" s="3" t="s">
        <v>313</v>
      </c>
    </row>
    <row r="96" spans="1:15">
      <c r="A96" s="2">
        <v>95</v>
      </c>
      <c r="B96" s="3" t="s">
        <v>31</v>
      </c>
      <c r="C96" s="2" t="s">
        <v>19</v>
      </c>
      <c r="D96" s="2" t="s">
        <v>6</v>
      </c>
      <c r="E96" s="41" t="s">
        <v>252</v>
      </c>
      <c r="F96" s="41" t="s">
        <v>253</v>
      </c>
      <c r="G96" s="10" t="str">
        <f t="shared" si="2"/>
        <v>M. REZZA PUTRA DARMA</v>
      </c>
      <c r="H96" s="41" t="s">
        <v>65</v>
      </c>
      <c r="I96" s="37" t="str">
        <f t="shared" si="3"/>
        <v>VII</v>
      </c>
      <c r="J96" s="44"/>
      <c r="K96" s="44"/>
      <c r="L96" s="44"/>
      <c r="M96" s="44"/>
      <c r="N96" s="44"/>
      <c r="O96" s="3" t="s">
        <v>313</v>
      </c>
    </row>
    <row r="97" spans="1:15">
      <c r="A97" s="2">
        <v>96</v>
      </c>
      <c r="B97" s="3" t="s">
        <v>31</v>
      </c>
      <c r="C97" s="2" t="s">
        <v>20</v>
      </c>
      <c r="D97" s="2" t="s">
        <v>6</v>
      </c>
      <c r="E97" s="41" t="s">
        <v>254</v>
      </c>
      <c r="F97" s="41" t="s">
        <v>255</v>
      </c>
      <c r="G97" s="10" t="str">
        <f t="shared" si="2"/>
        <v>REZVAN ZHIAN AGUSTO</v>
      </c>
      <c r="H97" s="41" t="s">
        <v>63</v>
      </c>
      <c r="I97" s="37" t="str">
        <f t="shared" si="3"/>
        <v/>
      </c>
      <c r="J97" s="44"/>
      <c r="K97" s="44"/>
      <c r="L97" s="44"/>
      <c r="M97" s="44"/>
      <c r="N97" s="44"/>
      <c r="O97" s="3" t="s">
        <v>313</v>
      </c>
    </row>
    <row r="98" spans="1:15">
      <c r="A98" s="2">
        <v>97</v>
      </c>
      <c r="B98" s="3" t="s">
        <v>31</v>
      </c>
      <c r="C98" s="2" t="s">
        <v>21</v>
      </c>
      <c r="D98" s="2" t="s">
        <v>6</v>
      </c>
      <c r="E98" s="41" t="s">
        <v>256</v>
      </c>
      <c r="F98" s="41" t="s">
        <v>257</v>
      </c>
      <c r="G98" s="10" t="str">
        <f t="shared" si="2"/>
        <v>FAIZ ABDUSSALAM TASLIM BUDIDOYO</v>
      </c>
      <c r="H98" s="41" t="s">
        <v>63</v>
      </c>
      <c r="I98" s="37" t="str">
        <f t="shared" si="3"/>
        <v/>
      </c>
      <c r="J98" s="44"/>
      <c r="K98" s="44"/>
      <c r="L98" s="44"/>
      <c r="M98" s="44"/>
      <c r="N98" s="44"/>
      <c r="O98" s="3" t="s">
        <v>313</v>
      </c>
    </row>
    <row r="99" spans="1:15">
      <c r="A99" s="2">
        <v>98</v>
      </c>
      <c r="B99" s="3" t="s">
        <v>31</v>
      </c>
      <c r="C99" s="2" t="s">
        <v>22</v>
      </c>
      <c r="D99" s="2" t="s">
        <v>6</v>
      </c>
      <c r="E99" s="41" t="s">
        <v>258</v>
      </c>
      <c r="F99" s="41" t="s">
        <v>259</v>
      </c>
      <c r="G99" s="10" t="str">
        <f t="shared" si="2"/>
        <v>RIYADI WIRAWAN</v>
      </c>
      <c r="H99" s="41" t="s">
        <v>65</v>
      </c>
      <c r="I99" s="37" t="str">
        <f t="shared" si="3"/>
        <v>VII</v>
      </c>
      <c r="J99" s="44"/>
      <c r="K99" s="44"/>
      <c r="L99" s="44"/>
      <c r="M99" s="44"/>
      <c r="N99" s="44"/>
      <c r="O99" s="3" t="s">
        <v>313</v>
      </c>
    </row>
    <row r="100" spans="1:15">
      <c r="A100" s="2">
        <v>99</v>
      </c>
      <c r="B100" s="3" t="s">
        <v>31</v>
      </c>
      <c r="C100" s="2" t="s">
        <v>23</v>
      </c>
      <c r="D100" s="2" t="s">
        <v>6</v>
      </c>
      <c r="E100" s="41" t="s">
        <v>260</v>
      </c>
      <c r="F100" s="41" t="s">
        <v>261</v>
      </c>
      <c r="G100" s="10" t="str">
        <f t="shared" si="2"/>
        <v>SULTHON ABRISAM KARIM</v>
      </c>
      <c r="H100" s="41" t="s">
        <v>65</v>
      </c>
      <c r="I100" s="37" t="str">
        <f t="shared" si="3"/>
        <v>VII</v>
      </c>
      <c r="J100" s="44"/>
      <c r="K100" s="44"/>
      <c r="L100" s="44"/>
      <c r="M100" s="44"/>
      <c r="N100" s="44"/>
      <c r="O100" s="3" t="s">
        <v>313</v>
      </c>
    </row>
    <row r="101" spans="1:15">
      <c r="A101" s="2">
        <v>100</v>
      </c>
      <c r="B101" s="3" t="s">
        <v>31</v>
      </c>
      <c r="C101" s="2" t="s">
        <v>24</v>
      </c>
      <c r="D101" s="2" t="s">
        <v>6</v>
      </c>
      <c r="E101" s="41" t="s">
        <v>262</v>
      </c>
      <c r="F101" s="41" t="s">
        <v>263</v>
      </c>
      <c r="G101" s="10" t="str">
        <f t="shared" si="2"/>
        <v>RUWAIFI</v>
      </c>
      <c r="H101" s="41" t="s">
        <v>65</v>
      </c>
      <c r="I101" s="37" t="str">
        <f t="shared" si="3"/>
        <v>VII</v>
      </c>
      <c r="J101" s="44"/>
      <c r="K101" s="44"/>
      <c r="L101" s="44"/>
      <c r="M101" s="44"/>
      <c r="N101" s="44"/>
      <c r="O101" s="3" t="s">
        <v>313</v>
      </c>
    </row>
    <row r="102" spans="1:15">
      <c r="A102" s="2">
        <v>101</v>
      </c>
      <c r="B102" s="3" t="s">
        <v>31</v>
      </c>
      <c r="C102" s="2" t="s">
        <v>25</v>
      </c>
      <c r="D102" s="2" t="s">
        <v>6</v>
      </c>
      <c r="E102" s="41" t="s">
        <v>264</v>
      </c>
      <c r="F102" s="41" t="s">
        <v>265</v>
      </c>
      <c r="G102" s="10" t="str">
        <f t="shared" si="2"/>
        <v>FATHI FAHLEVI FAHMI</v>
      </c>
      <c r="H102" s="41" t="s">
        <v>65</v>
      </c>
      <c r="I102" s="37" t="str">
        <f t="shared" si="3"/>
        <v>VII</v>
      </c>
      <c r="J102" s="44"/>
      <c r="K102" s="44"/>
      <c r="L102" s="44"/>
      <c r="M102" s="44"/>
      <c r="N102" s="44"/>
      <c r="O102" s="3" t="s">
        <v>313</v>
      </c>
    </row>
    <row r="103" spans="1:15">
      <c r="A103" s="2">
        <v>102</v>
      </c>
      <c r="B103" s="3" t="s">
        <v>31</v>
      </c>
      <c r="C103" s="2" t="s">
        <v>26</v>
      </c>
      <c r="D103" s="2" t="s">
        <v>6</v>
      </c>
      <c r="E103" s="41" t="s">
        <v>266</v>
      </c>
      <c r="F103" s="41" t="s">
        <v>267</v>
      </c>
      <c r="G103" s="10" t="str">
        <f t="shared" si="2"/>
        <v>MALKA FIRDAUS SYARIF</v>
      </c>
      <c r="H103" s="41" t="s">
        <v>65</v>
      </c>
      <c r="I103" s="37" t="str">
        <f t="shared" si="3"/>
        <v>VII</v>
      </c>
      <c r="J103" s="44"/>
      <c r="K103" s="44"/>
      <c r="L103" s="44"/>
      <c r="M103" s="44"/>
      <c r="N103" s="44"/>
      <c r="O103" s="3" t="s">
        <v>313</v>
      </c>
    </row>
    <row r="104" spans="1:15">
      <c r="A104" s="2">
        <v>103</v>
      </c>
      <c r="B104" s="3" t="s">
        <v>31</v>
      </c>
      <c r="C104" s="2" t="s">
        <v>27</v>
      </c>
      <c r="D104" s="2" t="s">
        <v>6</v>
      </c>
      <c r="E104" s="41" t="s">
        <v>268</v>
      </c>
      <c r="F104" s="41" t="s">
        <v>269</v>
      </c>
      <c r="G104" s="10" t="str">
        <f t="shared" si="2"/>
        <v>DONLI CAESAR NORTON</v>
      </c>
      <c r="H104" s="41" t="s">
        <v>63</v>
      </c>
      <c r="I104" s="37" t="str">
        <f t="shared" si="3"/>
        <v/>
      </c>
      <c r="J104" s="44"/>
      <c r="K104" s="44"/>
      <c r="L104" s="44"/>
      <c r="M104" s="44"/>
      <c r="N104" s="44"/>
      <c r="O104" s="3" t="s">
        <v>313</v>
      </c>
    </row>
    <row r="105" spans="1:15">
      <c r="A105" s="2">
        <v>104</v>
      </c>
      <c r="B105" s="3" t="s">
        <v>31</v>
      </c>
      <c r="C105" s="2" t="s">
        <v>28</v>
      </c>
      <c r="D105" s="2" t="s">
        <v>6</v>
      </c>
      <c r="E105" s="41" t="s">
        <v>270</v>
      </c>
      <c r="F105" s="41" t="s">
        <v>271</v>
      </c>
      <c r="G105" s="10" t="str">
        <f t="shared" si="2"/>
        <v>UMAR</v>
      </c>
      <c r="H105" s="41" t="s">
        <v>65</v>
      </c>
      <c r="I105" s="37" t="str">
        <f t="shared" si="3"/>
        <v>VII</v>
      </c>
      <c r="J105" s="44"/>
      <c r="K105" s="44"/>
      <c r="L105" s="44"/>
      <c r="M105" s="44"/>
      <c r="N105" s="44"/>
      <c r="O105" s="3" t="s">
        <v>313</v>
      </c>
    </row>
    <row r="106" spans="1:15">
      <c r="A106" s="2">
        <v>105</v>
      </c>
      <c r="B106" s="3" t="s">
        <v>31</v>
      </c>
      <c r="C106" s="2" t="s">
        <v>3</v>
      </c>
      <c r="D106" s="2" t="s">
        <v>7</v>
      </c>
      <c r="E106" s="41" t="s">
        <v>272</v>
      </c>
      <c r="F106" s="41" t="s">
        <v>273</v>
      </c>
      <c r="G106" s="10" t="str">
        <f t="shared" si="2"/>
        <v>MUHAMMAD NIZAR</v>
      </c>
      <c r="H106" s="41" t="s">
        <v>65</v>
      </c>
      <c r="I106" s="37" t="str">
        <f t="shared" si="3"/>
        <v>VII</v>
      </c>
      <c r="J106" s="44"/>
      <c r="K106" s="44"/>
      <c r="L106" s="44"/>
      <c r="M106" s="44"/>
      <c r="N106" s="44"/>
      <c r="O106" s="3" t="s">
        <v>313</v>
      </c>
    </row>
    <row r="107" spans="1:15">
      <c r="A107" s="2">
        <v>106</v>
      </c>
      <c r="B107" s="3" t="s">
        <v>31</v>
      </c>
      <c r="C107" s="2" t="s">
        <v>5</v>
      </c>
      <c r="D107" s="2" t="s">
        <v>7</v>
      </c>
      <c r="E107" s="41" t="s">
        <v>274</v>
      </c>
      <c r="F107" s="41" t="s">
        <v>275</v>
      </c>
      <c r="G107" s="10" t="str">
        <f t="shared" si="2"/>
        <v>ANASTASYA PUTRI</v>
      </c>
      <c r="H107" s="41" t="s">
        <v>98</v>
      </c>
      <c r="I107" s="37" t="str">
        <f t="shared" si="3"/>
        <v>VII</v>
      </c>
      <c r="J107" s="44"/>
      <c r="K107" s="44"/>
      <c r="L107" s="44"/>
      <c r="M107" s="44"/>
      <c r="N107" s="44"/>
      <c r="O107" s="3" t="s">
        <v>313</v>
      </c>
    </row>
    <row r="108" spans="1:15">
      <c r="A108" s="2">
        <v>107</v>
      </c>
      <c r="B108" s="3" t="s">
        <v>31</v>
      </c>
      <c r="C108" s="2" t="s">
        <v>4</v>
      </c>
      <c r="D108" s="2" t="s">
        <v>7</v>
      </c>
      <c r="E108" s="41" t="s">
        <v>276</v>
      </c>
      <c r="F108" s="41" t="s">
        <v>277</v>
      </c>
      <c r="G108" s="10" t="str">
        <f t="shared" si="2"/>
        <v>ABDURRAHMAN HAFIZH AYYASI</v>
      </c>
      <c r="H108" s="41" t="s">
        <v>63</v>
      </c>
      <c r="I108" s="37" t="str">
        <f t="shared" si="3"/>
        <v/>
      </c>
      <c r="J108" s="44"/>
      <c r="K108" s="44"/>
      <c r="L108" s="44"/>
      <c r="M108" s="44"/>
      <c r="N108" s="44"/>
      <c r="O108" s="3" t="s">
        <v>313</v>
      </c>
    </row>
    <row r="109" spans="1:15">
      <c r="A109" s="2">
        <v>108</v>
      </c>
      <c r="B109" s="3" t="s">
        <v>31</v>
      </c>
      <c r="C109" s="2" t="s">
        <v>6</v>
      </c>
      <c r="D109" s="2" t="s">
        <v>7</v>
      </c>
      <c r="E109" s="41" t="s">
        <v>278</v>
      </c>
      <c r="F109" s="41" t="s">
        <v>279</v>
      </c>
      <c r="G109" s="10" t="str">
        <f t="shared" si="2"/>
        <v>SALMAN ALFARIZI ALAMSYAH</v>
      </c>
      <c r="H109" s="41" t="s">
        <v>63</v>
      </c>
      <c r="I109" s="37" t="str">
        <f t="shared" si="3"/>
        <v/>
      </c>
      <c r="J109" s="44"/>
      <c r="K109" s="44"/>
      <c r="L109" s="44"/>
      <c r="M109" s="44"/>
      <c r="N109" s="44"/>
      <c r="O109" s="3" t="s">
        <v>313</v>
      </c>
    </row>
    <row r="110" spans="1:15">
      <c r="A110" s="2">
        <v>109</v>
      </c>
      <c r="B110" s="3" t="s">
        <v>31</v>
      </c>
      <c r="C110" s="2" t="s">
        <v>7</v>
      </c>
      <c r="D110" s="2" t="s">
        <v>7</v>
      </c>
      <c r="E110" s="41" t="s">
        <v>280</v>
      </c>
      <c r="F110" s="41" t="s">
        <v>281</v>
      </c>
      <c r="G110" s="10" t="str">
        <f t="shared" si="2"/>
        <v>AZKIA SALSABILA</v>
      </c>
      <c r="H110" s="41" t="s">
        <v>61</v>
      </c>
      <c r="I110" s="37" t="str">
        <f t="shared" si="3"/>
        <v/>
      </c>
      <c r="J110" s="44"/>
      <c r="K110" s="44"/>
      <c r="L110" s="44"/>
      <c r="M110" s="44"/>
      <c r="N110" s="44"/>
      <c r="O110" s="3" t="s">
        <v>313</v>
      </c>
    </row>
    <row r="111" spans="1:15">
      <c r="A111" s="2">
        <v>110</v>
      </c>
      <c r="B111" s="3" t="s">
        <v>31</v>
      </c>
      <c r="C111" s="2" t="s">
        <v>8</v>
      </c>
      <c r="D111" s="2" t="s">
        <v>7</v>
      </c>
      <c r="E111" s="41" t="s">
        <v>282</v>
      </c>
      <c r="F111" s="41" t="s">
        <v>283</v>
      </c>
      <c r="G111" s="10" t="str">
        <f t="shared" si="2"/>
        <v>HAMZAH AQIL</v>
      </c>
      <c r="H111" s="41" t="s">
        <v>65</v>
      </c>
      <c r="I111" s="37" t="str">
        <f>IF(H111="MTs Putra","VII",IF(H111="MTs Putri","VII",IF(H111="IL Putri","",IF(H111="IL Putra",""))))</f>
        <v>VII</v>
      </c>
      <c r="J111" s="44"/>
      <c r="K111" s="44"/>
      <c r="L111" s="44"/>
      <c r="M111" s="44"/>
      <c r="N111" s="44"/>
      <c r="O111" s="3" t="s">
        <v>313</v>
      </c>
    </row>
    <row r="112" spans="1:15">
      <c r="A112" s="2">
        <v>111</v>
      </c>
      <c r="B112" s="3" t="s">
        <v>31</v>
      </c>
      <c r="C112" s="2" t="s">
        <v>9</v>
      </c>
      <c r="D112" s="2" t="s">
        <v>7</v>
      </c>
      <c r="E112" s="41" t="s">
        <v>284</v>
      </c>
      <c r="F112" s="41" t="s">
        <v>285</v>
      </c>
      <c r="G112" s="10" t="str">
        <f t="shared" si="2"/>
        <v>ARJUNA PERMANA PUTRA</v>
      </c>
      <c r="H112" s="41" t="s">
        <v>65</v>
      </c>
      <c r="I112" s="37" t="str">
        <f>IF(H112="MTs Putra","VII",IF(H112="MTs Putri","VII",IF(H112="IL Putri","",IF(H112="IL Putra",""))))</f>
        <v>VII</v>
      </c>
      <c r="J112" s="44"/>
      <c r="K112" s="44"/>
      <c r="L112" s="44"/>
      <c r="M112" s="44"/>
      <c r="N112" s="44"/>
      <c r="O112" s="3" t="s">
        <v>313</v>
      </c>
    </row>
    <row r="113" spans="1:16">
      <c r="A113" s="2">
        <v>112</v>
      </c>
      <c r="B113" s="3" t="s">
        <v>31</v>
      </c>
      <c r="C113" s="2" t="s">
        <v>11</v>
      </c>
      <c r="D113" s="2" t="s">
        <v>7</v>
      </c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6">
      <c r="A114" s="2">
        <v>113</v>
      </c>
      <c r="B114" s="3" t="s">
        <v>31</v>
      </c>
      <c r="C114" s="2" t="s">
        <v>10</v>
      </c>
      <c r="D114" s="2" t="s">
        <v>7</v>
      </c>
      <c r="E114" s="41" t="s">
        <v>286</v>
      </c>
      <c r="F114" s="41" t="s">
        <v>287</v>
      </c>
      <c r="G114" s="10" t="str">
        <f t="shared" ref="G114:G122" si="4">UPPER(F114)</f>
        <v>MUHAMMAD RISKY SHAPIN</v>
      </c>
      <c r="H114" s="41" t="s">
        <v>63</v>
      </c>
      <c r="I114" s="37" t="str">
        <f t="shared" ref="I114:I136" si="5">IF(H114="MTs Putra","VII",IF(H114="MTs Putri","VII",IF(H114="IL Putri","",IF(H114="IL Putra",""))))</f>
        <v/>
      </c>
      <c r="J114" s="44"/>
      <c r="K114" s="44"/>
      <c r="L114" s="44"/>
      <c r="M114" s="44"/>
      <c r="N114" s="44"/>
      <c r="O114" s="3" t="s">
        <v>313</v>
      </c>
    </row>
    <row r="115" spans="1:16">
      <c r="A115" s="2">
        <v>114</v>
      </c>
      <c r="B115" s="3" t="s">
        <v>31</v>
      </c>
      <c r="C115" s="2" t="s">
        <v>12</v>
      </c>
      <c r="D115" s="2" t="s">
        <v>7</v>
      </c>
      <c r="E115" s="41" t="s">
        <v>288</v>
      </c>
      <c r="F115" s="41" t="s">
        <v>289</v>
      </c>
      <c r="G115" s="10" t="str">
        <f t="shared" si="4"/>
        <v>KHOTIBUL SYAFIIQ</v>
      </c>
      <c r="H115" s="41" t="s">
        <v>65</v>
      </c>
      <c r="I115" s="37" t="str">
        <f t="shared" si="5"/>
        <v>VII</v>
      </c>
      <c r="J115" s="44"/>
      <c r="K115" s="44"/>
      <c r="L115" s="44"/>
      <c r="M115" s="44"/>
      <c r="N115" s="44"/>
      <c r="O115" s="3" t="s">
        <v>313</v>
      </c>
    </row>
    <row r="116" spans="1:16">
      <c r="A116" s="2">
        <v>115</v>
      </c>
      <c r="B116" s="3" t="s">
        <v>31</v>
      </c>
      <c r="C116" s="2" t="s">
        <v>13</v>
      </c>
      <c r="D116" s="2" t="s">
        <v>7</v>
      </c>
      <c r="E116" s="41" t="s">
        <v>290</v>
      </c>
      <c r="F116" s="41" t="s">
        <v>291</v>
      </c>
      <c r="G116" s="10" t="str">
        <f t="shared" si="4"/>
        <v>MIZAN ALGHIFARY DIZLILAR</v>
      </c>
      <c r="H116" s="41" t="s">
        <v>63</v>
      </c>
      <c r="I116" s="37" t="str">
        <f t="shared" si="5"/>
        <v/>
      </c>
      <c r="J116" s="44"/>
      <c r="K116" s="44"/>
      <c r="L116" s="44"/>
      <c r="M116" s="44"/>
      <c r="N116" s="44"/>
      <c r="O116" s="3" t="s">
        <v>313</v>
      </c>
    </row>
    <row r="117" spans="1:16">
      <c r="A117" s="2">
        <v>116</v>
      </c>
      <c r="B117" s="3" t="s">
        <v>31</v>
      </c>
      <c r="C117" s="2" t="s">
        <v>14</v>
      </c>
      <c r="D117" s="2" t="s">
        <v>7</v>
      </c>
      <c r="E117" s="41" t="s">
        <v>292</v>
      </c>
      <c r="F117" s="41" t="s">
        <v>293</v>
      </c>
      <c r="G117" s="10" t="str">
        <f t="shared" si="4"/>
        <v>AISHA ALIFA NOOR ATTARINI</v>
      </c>
      <c r="H117" s="41" t="s">
        <v>98</v>
      </c>
      <c r="I117" s="37" t="str">
        <f t="shared" si="5"/>
        <v>VII</v>
      </c>
      <c r="J117" s="44"/>
      <c r="K117" s="44"/>
      <c r="L117" s="44"/>
      <c r="M117" s="44"/>
      <c r="N117" s="44"/>
      <c r="O117" s="3" t="s">
        <v>313</v>
      </c>
    </row>
    <row r="118" spans="1:16">
      <c r="A118" s="2">
        <v>117</v>
      </c>
      <c r="B118" s="3" t="s">
        <v>31</v>
      </c>
      <c r="C118" s="2" t="s">
        <v>15</v>
      </c>
      <c r="D118" s="2" t="s">
        <v>7</v>
      </c>
      <c r="E118" s="41" t="s">
        <v>294</v>
      </c>
      <c r="F118" s="41" t="s">
        <v>295</v>
      </c>
      <c r="G118" s="10" t="str">
        <f t="shared" si="4"/>
        <v>MUHAMMAD NAUFAL RAFIF ATHALLAH</v>
      </c>
      <c r="H118" s="41" t="s">
        <v>63</v>
      </c>
      <c r="I118" s="37" t="str">
        <f t="shared" si="5"/>
        <v/>
      </c>
      <c r="J118" s="44"/>
      <c r="K118" s="44"/>
      <c r="L118" s="44"/>
      <c r="M118" s="44"/>
      <c r="N118" s="44"/>
      <c r="O118" s="3" t="s">
        <v>313</v>
      </c>
    </row>
    <row r="119" spans="1:16">
      <c r="A119" s="2">
        <v>118</v>
      </c>
      <c r="B119" s="3" t="s">
        <v>31</v>
      </c>
      <c r="C119" s="2" t="s">
        <v>16</v>
      </c>
      <c r="D119" s="2" t="s">
        <v>7</v>
      </c>
      <c r="E119" s="41" t="s">
        <v>296</v>
      </c>
      <c r="F119" s="41" t="s">
        <v>297</v>
      </c>
      <c r="G119" s="10" t="str">
        <f t="shared" si="4"/>
        <v>MUHAMMAD SYAUQI ABDUL HAQ</v>
      </c>
      <c r="H119" s="41" t="s">
        <v>65</v>
      </c>
      <c r="I119" s="37" t="str">
        <f t="shared" si="5"/>
        <v>VII</v>
      </c>
      <c r="J119" s="44"/>
      <c r="K119" s="44"/>
      <c r="L119" s="44"/>
      <c r="M119" s="44"/>
      <c r="N119" s="44"/>
      <c r="O119" s="3" t="s">
        <v>313</v>
      </c>
    </row>
    <row r="120" spans="1:16">
      <c r="A120" s="2">
        <v>119</v>
      </c>
      <c r="B120" s="3" t="s">
        <v>31</v>
      </c>
      <c r="C120" s="2" t="s">
        <v>17</v>
      </c>
      <c r="D120" s="2" t="s">
        <v>7</v>
      </c>
      <c r="E120" s="41" t="s">
        <v>298</v>
      </c>
      <c r="F120" s="41" t="s">
        <v>299</v>
      </c>
      <c r="G120" s="10" t="str">
        <f t="shared" si="4"/>
        <v>ABDURRAHMAN DIHYAH ARROBI</v>
      </c>
      <c r="H120" s="41" t="s">
        <v>65</v>
      </c>
      <c r="I120" s="37" t="str">
        <f t="shared" si="5"/>
        <v>VII</v>
      </c>
      <c r="J120" s="44"/>
      <c r="K120" s="44"/>
      <c r="L120" s="44"/>
      <c r="M120" s="44"/>
      <c r="N120" s="44"/>
      <c r="O120" s="3" t="s">
        <v>313</v>
      </c>
    </row>
    <row r="121" spans="1:16">
      <c r="A121" s="2">
        <v>120</v>
      </c>
      <c r="B121" s="3" t="s">
        <v>31</v>
      </c>
      <c r="C121" s="2" t="s">
        <v>18</v>
      </c>
      <c r="D121" s="2" t="s">
        <v>7</v>
      </c>
      <c r="E121" s="15" t="s">
        <v>314</v>
      </c>
      <c r="F121" s="41" t="s">
        <v>315</v>
      </c>
      <c r="G121" s="10" t="str">
        <f t="shared" si="4"/>
        <v>AHMAD VICKHY WIJAYA</v>
      </c>
      <c r="H121" s="41" t="s">
        <v>65</v>
      </c>
      <c r="I121" s="37" t="str">
        <f t="shared" si="5"/>
        <v>VII</v>
      </c>
      <c r="J121" s="44"/>
      <c r="K121" s="44"/>
      <c r="L121" s="44"/>
      <c r="M121" s="44"/>
      <c r="N121" s="44"/>
      <c r="O121" s="3" t="s">
        <v>313</v>
      </c>
      <c r="P121" s="4" t="s">
        <v>318</v>
      </c>
    </row>
    <row r="122" spans="1:16">
      <c r="A122" s="2">
        <v>121</v>
      </c>
      <c r="B122" s="3" t="s">
        <v>31</v>
      </c>
      <c r="C122" s="2" t="s">
        <v>19</v>
      </c>
      <c r="D122" s="2" t="s">
        <v>7</v>
      </c>
      <c r="E122" s="15" t="s">
        <v>316</v>
      </c>
      <c r="F122" s="41" t="s">
        <v>317</v>
      </c>
      <c r="G122" s="10" t="str">
        <f t="shared" si="4"/>
        <v>MUHAMAD HAMUDI ALFARIJI</v>
      </c>
      <c r="H122" s="41" t="s">
        <v>65</v>
      </c>
      <c r="I122" s="37" t="str">
        <f t="shared" si="5"/>
        <v>VII</v>
      </c>
      <c r="J122" s="44"/>
      <c r="K122" s="44"/>
      <c r="L122" s="44"/>
      <c r="M122" s="44"/>
      <c r="N122" s="44"/>
      <c r="O122" s="3" t="s">
        <v>313</v>
      </c>
      <c r="P122" s="4" t="s">
        <v>318</v>
      </c>
    </row>
    <row r="123" spans="1:16">
      <c r="A123" s="2">
        <v>122</v>
      </c>
      <c r="B123" s="3" t="s">
        <v>31</v>
      </c>
      <c r="C123" s="2" t="s">
        <v>20</v>
      </c>
      <c r="D123" s="2" t="s">
        <v>7</v>
      </c>
      <c r="E123" s="41" t="s">
        <v>187</v>
      </c>
      <c r="F123" s="41" t="s">
        <v>188</v>
      </c>
      <c r="G123" s="10" t="str">
        <f t="shared" ref="G123:G136" si="6">UPPER(F123)</f>
        <v>MUHAMMAD AL FATHIH</v>
      </c>
      <c r="H123" s="41" t="s">
        <v>63</v>
      </c>
      <c r="I123" s="37" t="str">
        <f t="shared" si="5"/>
        <v/>
      </c>
      <c r="J123" s="44"/>
      <c r="K123" s="44"/>
      <c r="L123" s="44"/>
      <c r="M123" s="44"/>
      <c r="N123" s="44"/>
      <c r="O123" s="3" t="s">
        <v>313</v>
      </c>
      <c r="P123" s="4" t="s">
        <v>300</v>
      </c>
    </row>
    <row r="124" spans="1:16">
      <c r="A124" s="2">
        <v>123</v>
      </c>
      <c r="B124" s="3" t="s">
        <v>31</v>
      </c>
      <c r="C124" s="2" t="s">
        <v>21</v>
      </c>
      <c r="D124" s="2" t="s">
        <v>7</v>
      </c>
      <c r="E124" s="41" t="s">
        <v>301</v>
      </c>
      <c r="F124" s="41" t="s">
        <v>302</v>
      </c>
      <c r="G124" s="10" t="str">
        <f t="shared" si="6"/>
        <v>ADITYA AFHAN DHIYAULHAQ ILHAM</v>
      </c>
      <c r="H124" s="41" t="s">
        <v>63</v>
      </c>
      <c r="I124" s="37" t="str">
        <f t="shared" si="5"/>
        <v/>
      </c>
      <c r="J124" s="44"/>
      <c r="K124" s="44"/>
      <c r="L124" s="44"/>
      <c r="M124" s="44"/>
      <c r="N124" s="44"/>
      <c r="O124" s="3" t="s">
        <v>313</v>
      </c>
      <c r="P124" s="4" t="s">
        <v>300</v>
      </c>
    </row>
    <row r="125" spans="1:16">
      <c r="A125" s="2">
        <v>124</v>
      </c>
      <c r="B125" s="3" t="s">
        <v>31</v>
      </c>
      <c r="C125" s="2" t="s">
        <v>22</v>
      </c>
      <c r="D125" s="2" t="s">
        <v>7</v>
      </c>
      <c r="E125" s="41" t="s">
        <v>193</v>
      </c>
      <c r="F125" s="41" t="s">
        <v>194</v>
      </c>
      <c r="G125" s="10" t="str">
        <f t="shared" si="6"/>
        <v>KAMIL ISKANDAR</v>
      </c>
      <c r="H125" s="41" t="s">
        <v>63</v>
      </c>
      <c r="I125" s="37" t="str">
        <f t="shared" si="5"/>
        <v/>
      </c>
      <c r="J125" s="44"/>
      <c r="K125" s="44"/>
      <c r="L125" s="44"/>
      <c r="M125" s="44"/>
      <c r="N125" s="44"/>
      <c r="O125" s="3" t="s">
        <v>313</v>
      </c>
      <c r="P125" s="4" t="s">
        <v>300</v>
      </c>
    </row>
    <row r="126" spans="1:16">
      <c r="A126" s="2">
        <v>125</v>
      </c>
      <c r="B126" s="3" t="s">
        <v>31</v>
      </c>
      <c r="C126" s="2" t="s">
        <v>23</v>
      </c>
      <c r="D126" s="2" t="s">
        <v>7</v>
      </c>
      <c r="E126" s="41" t="s">
        <v>195</v>
      </c>
      <c r="F126" s="41" t="s">
        <v>196</v>
      </c>
      <c r="G126" s="10" t="str">
        <f t="shared" si="6"/>
        <v>MUHAMMAD HILMAN ALFARISI</v>
      </c>
      <c r="H126" s="41" t="s">
        <v>63</v>
      </c>
      <c r="I126" s="37" t="str">
        <f t="shared" si="5"/>
        <v/>
      </c>
      <c r="J126" s="44"/>
      <c r="K126" s="44"/>
      <c r="L126" s="44"/>
      <c r="M126" s="44"/>
      <c r="N126" s="44"/>
      <c r="O126" s="3" t="s">
        <v>313</v>
      </c>
      <c r="P126" s="4" t="s">
        <v>300</v>
      </c>
    </row>
    <row r="127" spans="1:16">
      <c r="A127" s="2">
        <v>126</v>
      </c>
      <c r="B127" s="3" t="s">
        <v>31</v>
      </c>
      <c r="C127" s="2" t="s">
        <v>24</v>
      </c>
      <c r="D127" s="2" t="s">
        <v>7</v>
      </c>
      <c r="E127" s="41" t="s">
        <v>303</v>
      </c>
      <c r="F127" s="41" t="s">
        <v>304</v>
      </c>
      <c r="G127" s="10" t="str">
        <f t="shared" si="6"/>
        <v>NAUFAL TAQQY HAFIFURRAHMAN</v>
      </c>
      <c r="H127" s="41" t="s">
        <v>63</v>
      </c>
      <c r="I127" s="37" t="str">
        <f t="shared" si="5"/>
        <v/>
      </c>
      <c r="J127" s="44"/>
      <c r="K127" s="44"/>
      <c r="L127" s="44"/>
      <c r="M127" s="44"/>
      <c r="N127" s="44"/>
      <c r="O127" s="3" t="s">
        <v>313</v>
      </c>
      <c r="P127" s="4" t="s">
        <v>300</v>
      </c>
    </row>
    <row r="128" spans="1:16">
      <c r="A128" s="2">
        <v>127</v>
      </c>
      <c r="B128" s="3" t="s">
        <v>31</v>
      </c>
      <c r="C128" s="2" t="s">
        <v>25</v>
      </c>
      <c r="D128" s="2" t="s">
        <v>7</v>
      </c>
      <c r="E128" s="41" t="s">
        <v>305</v>
      </c>
      <c r="F128" s="41" t="s">
        <v>306</v>
      </c>
      <c r="G128" s="10" t="str">
        <f t="shared" si="6"/>
        <v>AL RAFFI HAFIZH IRHAM ZAKARIA</v>
      </c>
      <c r="H128" s="41" t="s">
        <v>63</v>
      </c>
      <c r="I128" s="37" t="str">
        <f t="shared" si="5"/>
        <v/>
      </c>
      <c r="J128" s="44"/>
      <c r="K128" s="44"/>
      <c r="L128" s="44"/>
      <c r="M128" s="44"/>
      <c r="N128" s="44"/>
      <c r="O128" s="3" t="s">
        <v>313</v>
      </c>
      <c r="P128" s="4" t="s">
        <v>300</v>
      </c>
    </row>
    <row r="129" spans="1:16">
      <c r="A129" s="2">
        <v>128</v>
      </c>
      <c r="B129" s="3" t="s">
        <v>31</v>
      </c>
      <c r="C129" s="2" t="s">
        <v>26</v>
      </c>
      <c r="D129" s="2" t="s">
        <v>7</v>
      </c>
      <c r="E129" s="41" t="s">
        <v>307</v>
      </c>
      <c r="F129" s="41" t="s">
        <v>308</v>
      </c>
      <c r="G129" s="10" t="str">
        <f t="shared" si="6"/>
        <v>MUHAMMAD GHAZA</v>
      </c>
      <c r="H129" s="41" t="s">
        <v>63</v>
      </c>
      <c r="I129" s="37" t="str">
        <f t="shared" si="5"/>
        <v/>
      </c>
      <c r="J129" s="44"/>
      <c r="K129" s="44"/>
      <c r="L129" s="44"/>
      <c r="M129" s="44"/>
      <c r="N129" s="44"/>
      <c r="O129" s="3" t="s">
        <v>313</v>
      </c>
      <c r="P129" s="4" t="s">
        <v>300</v>
      </c>
    </row>
    <row r="130" spans="1:16">
      <c r="A130" s="2">
        <v>129</v>
      </c>
      <c r="B130" s="3" t="s">
        <v>31</v>
      </c>
      <c r="C130" s="2" t="s">
        <v>27</v>
      </c>
      <c r="D130" s="2" t="s">
        <v>7</v>
      </c>
      <c r="E130" s="41" t="s">
        <v>309</v>
      </c>
      <c r="F130" s="41" t="s">
        <v>310</v>
      </c>
      <c r="G130" s="10" t="str">
        <f t="shared" si="6"/>
        <v>KHUBAIB ABDUL AZIZ</v>
      </c>
      <c r="H130" s="41" t="s">
        <v>63</v>
      </c>
      <c r="I130" s="37" t="str">
        <f t="shared" si="5"/>
        <v/>
      </c>
      <c r="J130" s="44"/>
      <c r="K130" s="44"/>
      <c r="L130" s="44"/>
      <c r="M130" s="44"/>
      <c r="N130" s="44"/>
      <c r="O130" s="3"/>
    </row>
    <row r="131" spans="1:16">
      <c r="A131" s="2">
        <v>130</v>
      </c>
      <c r="B131" s="3" t="s">
        <v>31</v>
      </c>
      <c r="C131" s="2" t="s">
        <v>28</v>
      </c>
      <c r="D131" s="2" t="s">
        <v>7</v>
      </c>
      <c r="E131" s="41" t="s">
        <v>311</v>
      </c>
      <c r="F131" s="41" t="s">
        <v>312</v>
      </c>
      <c r="G131" s="10" t="str">
        <f t="shared" si="6"/>
        <v>ANANDA HEZKY FAYEZA</v>
      </c>
      <c r="H131" s="41" t="s">
        <v>63</v>
      </c>
      <c r="I131" s="37" t="str">
        <f t="shared" si="5"/>
        <v/>
      </c>
      <c r="J131" s="44"/>
      <c r="K131" s="44"/>
      <c r="L131" s="44"/>
      <c r="M131" s="44"/>
      <c r="N131" s="44"/>
      <c r="O131" s="3"/>
    </row>
    <row r="132" spans="1:16">
      <c r="A132" s="2">
        <v>131</v>
      </c>
      <c r="B132" s="3" t="s">
        <v>31</v>
      </c>
      <c r="C132" s="2" t="s">
        <v>3</v>
      </c>
      <c r="D132" s="2" t="s">
        <v>8</v>
      </c>
      <c r="E132" s="44" t="s">
        <v>319</v>
      </c>
      <c r="F132" s="44" t="s">
        <v>320</v>
      </c>
      <c r="G132" s="10" t="str">
        <f t="shared" si="6"/>
        <v>NAISYA ASHADIYA RUSLI</v>
      </c>
      <c r="H132" s="10" t="s">
        <v>98</v>
      </c>
      <c r="I132" s="37" t="str">
        <f t="shared" si="5"/>
        <v>VII</v>
      </c>
      <c r="J132" s="44"/>
      <c r="K132" s="44"/>
      <c r="L132" s="44"/>
      <c r="M132" s="44"/>
      <c r="N132" s="44"/>
      <c r="O132" s="3" t="s">
        <v>327</v>
      </c>
    </row>
    <row r="133" spans="1:16">
      <c r="A133" s="2">
        <v>132</v>
      </c>
      <c r="B133" s="3" t="s">
        <v>31</v>
      </c>
      <c r="C133" s="2" t="s">
        <v>5</v>
      </c>
      <c r="D133" s="2" t="s">
        <v>8</v>
      </c>
      <c r="E133" s="44" t="s">
        <v>321</v>
      </c>
      <c r="F133" s="44" t="s">
        <v>322</v>
      </c>
      <c r="G133" s="10" t="str">
        <f t="shared" si="6"/>
        <v xml:space="preserve">AISHA SALMA MUTMAINNAH </v>
      </c>
      <c r="H133" s="10" t="s">
        <v>98</v>
      </c>
      <c r="I133" s="37" t="str">
        <f t="shared" si="5"/>
        <v>VII</v>
      </c>
      <c r="J133" s="44"/>
      <c r="K133" s="44"/>
      <c r="L133" s="44"/>
      <c r="M133" s="44"/>
      <c r="N133" s="44"/>
      <c r="O133" s="3" t="s">
        <v>327</v>
      </c>
    </row>
    <row r="134" spans="1:16">
      <c r="A134" s="2">
        <v>133</v>
      </c>
      <c r="B134" s="3" t="s">
        <v>31</v>
      </c>
      <c r="C134" s="2" t="s">
        <v>4</v>
      </c>
      <c r="D134" s="2" t="s">
        <v>8</v>
      </c>
      <c r="E134" s="44" t="s">
        <v>323</v>
      </c>
      <c r="F134" s="44" t="s">
        <v>324</v>
      </c>
      <c r="G134" s="10" t="str">
        <f t="shared" si="6"/>
        <v xml:space="preserve">NADA FAIZAH MUTTAQIYAH </v>
      </c>
      <c r="H134" s="10" t="s">
        <v>61</v>
      </c>
      <c r="I134" s="37" t="str">
        <f t="shared" si="5"/>
        <v/>
      </c>
      <c r="J134" s="44"/>
      <c r="K134" s="44"/>
      <c r="L134" s="44"/>
      <c r="M134" s="44"/>
      <c r="N134" s="44"/>
      <c r="O134" s="3" t="s">
        <v>327</v>
      </c>
    </row>
    <row r="135" spans="1:16">
      <c r="A135" s="2">
        <v>134</v>
      </c>
      <c r="B135" s="3" t="s">
        <v>31</v>
      </c>
      <c r="C135" s="2" t="s">
        <v>6</v>
      </c>
      <c r="D135" s="2" t="s">
        <v>8</v>
      </c>
      <c r="E135" s="44" t="s">
        <v>325</v>
      </c>
      <c r="F135" s="44" t="s">
        <v>353</v>
      </c>
      <c r="G135" s="10" t="str">
        <f t="shared" si="6"/>
        <v>KIMORA AMANDA PUTRI</v>
      </c>
      <c r="H135" s="10" t="s">
        <v>98</v>
      </c>
      <c r="I135" s="37" t="str">
        <f t="shared" si="5"/>
        <v>VII</v>
      </c>
      <c r="J135" s="44"/>
      <c r="K135" s="44"/>
      <c r="L135" s="44"/>
      <c r="M135" s="44"/>
      <c r="N135" s="44"/>
      <c r="O135" s="3" t="s">
        <v>352</v>
      </c>
    </row>
    <row r="136" spans="1:16">
      <c r="A136" s="2">
        <v>135</v>
      </c>
      <c r="B136" s="3" t="s">
        <v>31</v>
      </c>
      <c r="C136" s="2" t="s">
        <v>7</v>
      </c>
      <c r="D136" s="2" t="s">
        <v>8</v>
      </c>
      <c r="E136" s="41" t="s">
        <v>328</v>
      </c>
      <c r="F136" s="41" t="s">
        <v>329</v>
      </c>
      <c r="G136" s="10" t="str">
        <f t="shared" si="6"/>
        <v>RATU RAFIFA PUTRI MULYANA</v>
      </c>
      <c r="H136" s="41" t="s">
        <v>98</v>
      </c>
      <c r="I136" s="37" t="str">
        <f t="shared" si="5"/>
        <v>VII</v>
      </c>
      <c r="J136" s="44"/>
      <c r="K136" s="44"/>
      <c r="L136" s="44"/>
      <c r="M136" s="44"/>
      <c r="N136" s="44"/>
      <c r="O136" s="3" t="s">
        <v>330</v>
      </c>
    </row>
  </sheetData>
  <autoFilter ref="A1:P136" xr:uid="{85101FE2-2DF0-449D-BDC5-F5247B999191}"/>
  <phoneticPr fontId="5" type="noConversion"/>
  <conditionalFormatting sqref="J86:N91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E65D-3AC8-4497-A1E1-C8167DE6E562}">
  <dimension ref="A1:E51"/>
  <sheetViews>
    <sheetView workbookViewId="0">
      <selection activeCell="C17" sqref="C17"/>
    </sheetView>
  </sheetViews>
  <sheetFormatPr defaultColWidth="11.125" defaultRowHeight="14.25"/>
  <cols>
    <col min="1" max="1" width="6.125" style="28" customWidth="1"/>
    <col min="3" max="3" width="35.625" customWidth="1"/>
    <col min="4" max="4" width="13.625" customWidth="1"/>
  </cols>
  <sheetData>
    <row r="1" spans="1:5" ht="15.75">
      <c r="A1" s="31" t="s">
        <v>0</v>
      </c>
      <c r="B1" s="32" t="s">
        <v>346</v>
      </c>
      <c r="C1" s="32" t="s">
        <v>347</v>
      </c>
      <c r="D1" s="32" t="s">
        <v>348</v>
      </c>
    </row>
    <row r="2" spans="1:5" ht="15.75">
      <c r="A2" s="27">
        <v>1</v>
      </c>
      <c r="B2" s="19" t="s">
        <v>331</v>
      </c>
      <c r="C2" s="20" t="s">
        <v>57</v>
      </c>
      <c r="D2" s="19" t="s">
        <v>65</v>
      </c>
      <c r="E2" s="26"/>
    </row>
    <row r="3" spans="1:5" ht="15.75">
      <c r="A3" s="27">
        <v>2</v>
      </c>
      <c r="B3" s="19" t="s">
        <v>339</v>
      </c>
      <c r="C3" s="20" t="s">
        <v>47</v>
      </c>
      <c r="D3" s="19" t="s">
        <v>65</v>
      </c>
      <c r="E3" s="26"/>
    </row>
    <row r="4" spans="1:5" ht="15.75">
      <c r="A4" s="27">
        <v>3</v>
      </c>
      <c r="B4" s="19" t="s">
        <v>340</v>
      </c>
      <c r="C4" s="20" t="s">
        <v>49</v>
      </c>
      <c r="D4" s="19" t="s">
        <v>65</v>
      </c>
      <c r="E4" s="26"/>
    </row>
    <row r="5" spans="1:5" ht="15.75">
      <c r="A5" s="27">
        <v>4</v>
      </c>
      <c r="B5" s="19" t="s">
        <v>341</v>
      </c>
      <c r="C5" s="20" t="s">
        <v>50</v>
      </c>
      <c r="D5" s="19" t="s">
        <v>65</v>
      </c>
      <c r="E5" s="26"/>
    </row>
    <row r="6" spans="1:5" ht="15.75">
      <c r="A6" s="27">
        <v>5</v>
      </c>
      <c r="B6" s="26" t="s">
        <v>342</v>
      </c>
      <c r="C6" s="20" t="s">
        <v>52</v>
      </c>
      <c r="D6" s="26" t="s">
        <v>65</v>
      </c>
      <c r="E6" s="26"/>
    </row>
    <row r="7" spans="1:5" ht="15.75">
      <c r="A7" s="27">
        <v>6</v>
      </c>
      <c r="B7" s="19" t="s">
        <v>343</v>
      </c>
      <c r="C7" s="20" t="s">
        <v>53</v>
      </c>
      <c r="D7" s="19" t="s">
        <v>65</v>
      </c>
      <c r="E7" s="26"/>
    </row>
    <row r="8" spans="1:5" ht="15.75">
      <c r="A8" s="27">
        <v>7</v>
      </c>
      <c r="B8" s="19" t="s">
        <v>344</v>
      </c>
      <c r="C8" s="20" t="s">
        <v>55</v>
      </c>
      <c r="D8" s="19" t="s">
        <v>65</v>
      </c>
      <c r="E8" s="26"/>
    </row>
    <row r="9" spans="1:5" ht="15.75">
      <c r="A9" s="27">
        <v>8</v>
      </c>
      <c r="B9" s="19" t="s">
        <v>345</v>
      </c>
      <c r="C9" s="20" t="s">
        <v>56</v>
      </c>
      <c r="D9" s="19" t="s">
        <v>65</v>
      </c>
      <c r="E9" s="26"/>
    </row>
    <row r="10" spans="1:5" ht="15.75">
      <c r="A10" s="27">
        <v>9</v>
      </c>
      <c r="B10" s="19" t="s">
        <v>64</v>
      </c>
      <c r="C10" s="20" t="s">
        <v>71</v>
      </c>
      <c r="D10" s="19" t="s">
        <v>65</v>
      </c>
      <c r="E10" s="26"/>
    </row>
    <row r="11" spans="1:5" ht="15.75">
      <c r="A11" s="27">
        <v>10</v>
      </c>
      <c r="B11" s="19" t="s">
        <v>67</v>
      </c>
      <c r="C11" s="20" t="s">
        <v>73</v>
      </c>
      <c r="D11" s="19" t="s">
        <v>65</v>
      </c>
      <c r="E11" s="26"/>
    </row>
    <row r="12" spans="1:5" ht="15.75">
      <c r="A12" s="27">
        <v>11</v>
      </c>
      <c r="B12" s="19" t="s">
        <v>81</v>
      </c>
      <c r="C12" s="20" t="s">
        <v>89</v>
      </c>
      <c r="D12" s="19" t="s">
        <v>65</v>
      </c>
      <c r="E12" s="26"/>
    </row>
    <row r="13" spans="1:5" ht="15.75">
      <c r="A13" s="27">
        <v>12</v>
      </c>
      <c r="B13" s="19" t="s">
        <v>82</v>
      </c>
      <c r="C13" s="20" t="s">
        <v>90</v>
      </c>
      <c r="D13" s="19" t="s">
        <v>65</v>
      </c>
      <c r="E13" s="26"/>
    </row>
    <row r="14" spans="1:5" ht="15.75">
      <c r="A14" s="27">
        <v>13</v>
      </c>
      <c r="B14" s="19" t="s">
        <v>83</v>
      </c>
      <c r="C14" s="20" t="s">
        <v>91</v>
      </c>
      <c r="D14" s="19" t="s">
        <v>65</v>
      </c>
      <c r="E14" s="26"/>
    </row>
    <row r="15" spans="1:5" ht="15.75">
      <c r="A15" s="27">
        <v>14</v>
      </c>
      <c r="B15" s="19" t="s">
        <v>107</v>
      </c>
      <c r="C15" s="20" t="s">
        <v>112</v>
      </c>
      <c r="D15" s="23" t="s">
        <v>65</v>
      </c>
      <c r="E15" s="26"/>
    </row>
    <row r="16" spans="1:5" ht="15.75">
      <c r="A16" s="27">
        <v>15</v>
      </c>
      <c r="B16" s="19" t="s">
        <v>113</v>
      </c>
      <c r="C16" s="21" t="s">
        <v>114</v>
      </c>
      <c r="D16" s="18" t="s">
        <v>65</v>
      </c>
      <c r="E16" s="26"/>
    </row>
    <row r="17" spans="1:5" ht="15.75">
      <c r="A17" s="27">
        <v>16</v>
      </c>
      <c r="B17" s="19" t="s">
        <v>116</v>
      </c>
      <c r="C17" s="21" t="s">
        <v>117</v>
      </c>
      <c r="D17" s="18" t="s">
        <v>65</v>
      </c>
      <c r="E17" s="26"/>
    </row>
    <row r="18" spans="1:5" ht="15.75">
      <c r="A18" s="27">
        <v>17</v>
      </c>
      <c r="B18" s="19" t="s">
        <v>123</v>
      </c>
      <c r="C18" s="22" t="s">
        <v>124</v>
      </c>
      <c r="D18" s="18" t="s">
        <v>65</v>
      </c>
      <c r="E18" s="26"/>
    </row>
    <row r="19" spans="1:5" ht="15.75">
      <c r="A19" s="27">
        <v>18</v>
      </c>
      <c r="B19" s="19" t="s">
        <v>125</v>
      </c>
      <c r="C19" s="22" t="s">
        <v>126</v>
      </c>
      <c r="D19" s="18" t="s">
        <v>65</v>
      </c>
      <c r="E19" s="26"/>
    </row>
    <row r="20" spans="1:5" ht="15.75">
      <c r="A20" s="27">
        <v>19</v>
      </c>
      <c r="B20" s="19" t="s">
        <v>135</v>
      </c>
      <c r="C20" s="22" t="s">
        <v>136</v>
      </c>
      <c r="D20" s="18" t="s">
        <v>65</v>
      </c>
      <c r="E20" s="26"/>
    </row>
    <row r="21" spans="1:5" ht="15.75">
      <c r="A21" s="27">
        <v>20</v>
      </c>
      <c r="B21" s="19" t="s">
        <v>142</v>
      </c>
      <c r="C21" s="18" t="s">
        <v>143</v>
      </c>
      <c r="D21" s="18" t="s">
        <v>65</v>
      </c>
      <c r="E21" s="26"/>
    </row>
    <row r="22" spans="1:5" ht="15.75">
      <c r="A22" s="27">
        <v>21</v>
      </c>
      <c r="B22" s="19" t="s">
        <v>148</v>
      </c>
      <c r="C22" s="21" t="s">
        <v>149</v>
      </c>
      <c r="D22" s="18" t="s">
        <v>65</v>
      </c>
      <c r="E22" s="26"/>
    </row>
    <row r="23" spans="1:5" ht="15.75">
      <c r="A23" s="27">
        <v>22</v>
      </c>
      <c r="B23" s="19" t="s">
        <v>154</v>
      </c>
      <c r="C23" s="21" t="s">
        <v>155</v>
      </c>
      <c r="D23" s="18" t="s">
        <v>65</v>
      </c>
      <c r="E23" s="26"/>
    </row>
    <row r="24" spans="1:5" ht="15.75">
      <c r="A24" s="27">
        <v>23</v>
      </c>
      <c r="B24" s="18" t="s">
        <v>167</v>
      </c>
      <c r="C24" s="18" t="s">
        <v>168</v>
      </c>
      <c r="D24" s="18" t="s">
        <v>65</v>
      </c>
      <c r="E24" s="26" t="s">
        <v>166</v>
      </c>
    </row>
    <row r="25" spans="1:5" ht="15.75">
      <c r="A25" s="27">
        <v>24</v>
      </c>
      <c r="B25" s="18" t="s">
        <v>170</v>
      </c>
      <c r="C25" s="18" t="s">
        <v>171</v>
      </c>
      <c r="D25" s="21" t="s">
        <v>65</v>
      </c>
      <c r="E25" s="26" t="s">
        <v>166</v>
      </c>
    </row>
    <row r="26" spans="1:5" ht="15.75">
      <c r="A26" s="27">
        <v>25</v>
      </c>
      <c r="B26" s="18" t="s">
        <v>172</v>
      </c>
      <c r="C26" s="18" t="s">
        <v>173</v>
      </c>
      <c r="D26" s="21" t="s">
        <v>65</v>
      </c>
      <c r="E26" s="26" t="s">
        <v>166</v>
      </c>
    </row>
    <row r="27" spans="1:5" ht="15.75">
      <c r="A27" s="27">
        <v>26</v>
      </c>
      <c r="B27" s="18" t="s">
        <v>175</v>
      </c>
      <c r="C27" s="18" t="s">
        <v>174</v>
      </c>
      <c r="D27" s="18" t="s">
        <v>65</v>
      </c>
      <c r="E27" s="26" t="s">
        <v>166</v>
      </c>
    </row>
    <row r="28" spans="1:5" ht="15.75">
      <c r="A28" s="27">
        <v>27</v>
      </c>
      <c r="B28" s="18" t="s">
        <v>214</v>
      </c>
      <c r="C28" s="18" t="s">
        <v>213</v>
      </c>
      <c r="D28" s="18" t="s">
        <v>65</v>
      </c>
      <c r="E28" s="27" t="s">
        <v>166</v>
      </c>
    </row>
    <row r="29" spans="1:5" ht="15.75">
      <c r="A29" s="27">
        <v>28</v>
      </c>
      <c r="B29" s="18" t="s">
        <v>216</v>
      </c>
      <c r="C29" s="18" t="s">
        <v>215</v>
      </c>
      <c r="D29" s="18" t="s">
        <v>65</v>
      </c>
      <c r="E29" s="27" t="s">
        <v>166</v>
      </c>
    </row>
    <row r="30" spans="1:5" ht="15.75">
      <c r="A30" s="27">
        <v>29</v>
      </c>
      <c r="B30" s="18" t="s">
        <v>228</v>
      </c>
      <c r="C30" s="18" t="s">
        <v>227</v>
      </c>
      <c r="D30" s="18" t="s">
        <v>65</v>
      </c>
      <c r="E30" s="27" t="s">
        <v>166</v>
      </c>
    </row>
    <row r="31" spans="1:5" ht="15.75">
      <c r="A31" s="27">
        <v>30</v>
      </c>
      <c r="B31" s="18" t="s">
        <v>230</v>
      </c>
      <c r="C31" s="18" t="s">
        <v>229</v>
      </c>
      <c r="D31" s="18" t="s">
        <v>65</v>
      </c>
      <c r="E31" s="27" t="s">
        <v>166</v>
      </c>
    </row>
    <row r="32" spans="1:5" ht="15.75">
      <c r="A32" s="27">
        <v>31</v>
      </c>
      <c r="B32" s="18" t="s">
        <v>239</v>
      </c>
      <c r="C32" s="21" t="s">
        <v>240</v>
      </c>
      <c r="D32" s="21" t="s">
        <v>65</v>
      </c>
      <c r="E32" s="27" t="s">
        <v>166</v>
      </c>
    </row>
    <row r="33" spans="1:5" ht="15.75">
      <c r="A33" s="27">
        <v>32</v>
      </c>
      <c r="B33" s="18" t="s">
        <v>241</v>
      </c>
      <c r="C33" s="21" t="s">
        <v>242</v>
      </c>
      <c r="D33" s="21" t="s">
        <v>65</v>
      </c>
      <c r="E33" s="27" t="s">
        <v>166</v>
      </c>
    </row>
    <row r="34" spans="1:5" ht="15.75">
      <c r="A34" s="27">
        <v>33</v>
      </c>
      <c r="B34" s="18" t="s">
        <v>244</v>
      </c>
      <c r="C34" s="18" t="s">
        <v>245</v>
      </c>
      <c r="D34" s="18" t="s">
        <v>65</v>
      </c>
      <c r="E34" s="27" t="s">
        <v>166</v>
      </c>
    </row>
    <row r="35" spans="1:5" ht="15.75">
      <c r="A35" s="27">
        <v>34</v>
      </c>
      <c r="B35" s="18" t="s">
        <v>246</v>
      </c>
      <c r="C35" s="18" t="s">
        <v>247</v>
      </c>
      <c r="D35" s="18" t="s">
        <v>65</v>
      </c>
      <c r="E35" s="27" t="s">
        <v>166</v>
      </c>
    </row>
    <row r="36" spans="1:5" ht="15.75">
      <c r="A36" s="27">
        <v>35</v>
      </c>
      <c r="B36" s="18" t="s">
        <v>250</v>
      </c>
      <c r="C36" s="18" t="s">
        <v>251</v>
      </c>
      <c r="D36" s="18" t="s">
        <v>65</v>
      </c>
      <c r="E36" s="27" t="s">
        <v>166</v>
      </c>
    </row>
    <row r="37" spans="1:5" ht="15.75">
      <c r="A37" s="27">
        <v>36</v>
      </c>
      <c r="B37" s="18" t="s">
        <v>252</v>
      </c>
      <c r="C37" s="18" t="s">
        <v>253</v>
      </c>
      <c r="D37" s="18" t="s">
        <v>65</v>
      </c>
      <c r="E37" s="27" t="s">
        <v>166</v>
      </c>
    </row>
    <row r="38" spans="1:5" ht="15.75">
      <c r="A38" s="27">
        <v>37</v>
      </c>
      <c r="B38" s="18" t="s">
        <v>258</v>
      </c>
      <c r="C38" s="18" t="s">
        <v>259</v>
      </c>
      <c r="D38" s="18" t="s">
        <v>65</v>
      </c>
      <c r="E38" s="27" t="s">
        <v>166</v>
      </c>
    </row>
    <row r="39" spans="1:5" ht="15.75">
      <c r="A39" s="27">
        <v>38</v>
      </c>
      <c r="B39" s="18" t="s">
        <v>260</v>
      </c>
      <c r="C39" s="18" t="s">
        <v>261</v>
      </c>
      <c r="D39" s="18" t="s">
        <v>65</v>
      </c>
      <c r="E39" s="27" t="s">
        <v>166</v>
      </c>
    </row>
    <row r="40" spans="1:5" ht="15.75">
      <c r="A40" s="27">
        <v>39</v>
      </c>
      <c r="B40" s="18" t="s">
        <v>262</v>
      </c>
      <c r="C40" s="18" t="s">
        <v>263</v>
      </c>
      <c r="D40" s="18" t="s">
        <v>65</v>
      </c>
      <c r="E40" s="27" t="s">
        <v>166</v>
      </c>
    </row>
    <row r="41" spans="1:5" ht="15.75">
      <c r="A41" s="27">
        <v>40</v>
      </c>
      <c r="B41" s="18" t="s">
        <v>266</v>
      </c>
      <c r="C41" s="18" t="s">
        <v>267</v>
      </c>
      <c r="D41" s="18" t="s">
        <v>65</v>
      </c>
      <c r="E41" s="27" t="s">
        <v>166</v>
      </c>
    </row>
    <row r="42" spans="1:5" ht="15.75">
      <c r="A42" s="27">
        <v>41</v>
      </c>
      <c r="B42" s="18" t="s">
        <v>270</v>
      </c>
      <c r="C42" s="18" t="s">
        <v>271</v>
      </c>
      <c r="D42" s="18" t="s">
        <v>65</v>
      </c>
      <c r="E42" s="27" t="s">
        <v>166</v>
      </c>
    </row>
    <row r="43" spans="1:5" ht="15.75">
      <c r="A43" s="27">
        <v>42</v>
      </c>
      <c r="B43" s="18" t="s">
        <v>272</v>
      </c>
      <c r="C43" s="18" t="s">
        <v>273</v>
      </c>
      <c r="D43" s="18" t="s">
        <v>65</v>
      </c>
      <c r="E43" s="27" t="s">
        <v>166</v>
      </c>
    </row>
    <row r="44" spans="1:5" ht="15.75">
      <c r="A44" s="27">
        <v>43</v>
      </c>
      <c r="B44" s="18" t="s">
        <v>282</v>
      </c>
      <c r="C44" s="18" t="s">
        <v>283</v>
      </c>
      <c r="D44" s="18" t="s">
        <v>65</v>
      </c>
      <c r="E44" s="27" t="s">
        <v>166</v>
      </c>
    </row>
    <row r="45" spans="1:5" ht="15.75">
      <c r="A45" s="27">
        <v>44</v>
      </c>
      <c r="B45" s="18" t="s">
        <v>288</v>
      </c>
      <c r="C45" s="18" t="s">
        <v>289</v>
      </c>
      <c r="D45" s="18" t="s">
        <v>65</v>
      </c>
      <c r="E45" s="27" t="s">
        <v>166</v>
      </c>
    </row>
    <row r="46" spans="1:5" ht="15.75">
      <c r="A46" s="27">
        <v>45</v>
      </c>
      <c r="B46" s="18" t="s">
        <v>296</v>
      </c>
      <c r="C46" s="18" t="s">
        <v>297</v>
      </c>
      <c r="D46" s="18" t="s">
        <v>65</v>
      </c>
      <c r="E46" s="27" t="s">
        <v>166</v>
      </c>
    </row>
    <row r="47" spans="1:5" ht="15.75">
      <c r="A47" s="27">
        <v>46</v>
      </c>
      <c r="B47" s="18" t="s">
        <v>298</v>
      </c>
      <c r="C47" s="18" t="s">
        <v>299</v>
      </c>
      <c r="D47" s="18" t="s">
        <v>65</v>
      </c>
      <c r="E47" s="27" t="s">
        <v>166</v>
      </c>
    </row>
    <row r="48" spans="1:5" ht="15.75">
      <c r="A48" s="27">
        <v>47</v>
      </c>
      <c r="B48" s="23" t="s">
        <v>314</v>
      </c>
      <c r="C48" s="18" t="s">
        <v>315</v>
      </c>
      <c r="D48" s="18" t="s">
        <v>65</v>
      </c>
      <c r="E48" s="27" t="s">
        <v>166</v>
      </c>
    </row>
    <row r="49" spans="1:5" ht="15.75">
      <c r="A49" s="27">
        <v>48</v>
      </c>
      <c r="B49" s="23" t="s">
        <v>316</v>
      </c>
      <c r="C49" s="18" t="s">
        <v>317</v>
      </c>
      <c r="D49" s="18" t="s">
        <v>65</v>
      </c>
      <c r="E49" s="27" t="s">
        <v>166</v>
      </c>
    </row>
    <row r="51" spans="1:5">
      <c r="C51">
        <f>COUNTA(C2:C50)</f>
        <v>48</v>
      </c>
    </row>
  </sheetData>
  <pageMargins left="0.70866141732283472" right="0.70866141732283472" top="0.74803149606299213" bottom="0.74803149606299213" header="0.31496062992125984" footer="0.31496062992125984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264A-0078-4319-912E-E8B5D8770E10}">
  <dimension ref="A1:E31"/>
  <sheetViews>
    <sheetView topLeftCell="A16" workbookViewId="0">
      <selection activeCell="C23" sqref="C23"/>
    </sheetView>
  </sheetViews>
  <sheetFormatPr defaultRowHeight="15.75"/>
  <cols>
    <col min="1" max="1" width="4.75" style="29" customWidth="1"/>
    <col min="2" max="2" width="13" style="16" customWidth="1"/>
    <col min="3" max="3" width="32.375" style="16" customWidth="1"/>
    <col min="4" max="4" width="15" style="16" customWidth="1"/>
    <col min="5" max="16384" width="9" style="16"/>
  </cols>
  <sheetData>
    <row r="1" spans="1:4">
      <c r="A1" s="31" t="s">
        <v>0</v>
      </c>
      <c r="B1" s="32" t="s">
        <v>346</v>
      </c>
      <c r="C1" s="32" t="s">
        <v>347</v>
      </c>
      <c r="D1" s="32" t="s">
        <v>348</v>
      </c>
    </row>
    <row r="2" spans="1:4">
      <c r="A2" s="27">
        <v>1</v>
      </c>
      <c r="B2" s="19" t="s">
        <v>334</v>
      </c>
      <c r="C2" s="20" t="s">
        <v>44</v>
      </c>
      <c r="D2" s="19" t="s">
        <v>98</v>
      </c>
    </row>
    <row r="3" spans="1:4">
      <c r="A3" s="27">
        <v>2</v>
      </c>
      <c r="B3" s="19" t="s">
        <v>335</v>
      </c>
      <c r="C3" s="20" t="s">
        <v>45</v>
      </c>
      <c r="D3" s="19" t="s">
        <v>98</v>
      </c>
    </row>
    <row r="4" spans="1:4">
      <c r="A4" s="27">
        <v>3</v>
      </c>
      <c r="B4" s="19" t="s">
        <v>336</v>
      </c>
      <c r="C4" s="20" t="s">
        <v>46</v>
      </c>
      <c r="D4" s="19" t="s">
        <v>98</v>
      </c>
    </row>
    <row r="5" spans="1:4">
      <c r="A5" s="27">
        <v>4</v>
      </c>
      <c r="B5" s="19" t="s">
        <v>337</v>
      </c>
      <c r="C5" s="20" t="s">
        <v>48</v>
      </c>
      <c r="D5" s="19" t="s">
        <v>98</v>
      </c>
    </row>
    <row r="6" spans="1:4">
      <c r="A6" s="27">
        <v>5</v>
      </c>
      <c r="B6" s="19" t="s">
        <v>338</v>
      </c>
      <c r="C6" s="20" t="s">
        <v>54</v>
      </c>
      <c r="D6" s="19" t="s">
        <v>98</v>
      </c>
    </row>
    <row r="7" spans="1:4">
      <c r="A7" s="27">
        <v>6</v>
      </c>
      <c r="B7" s="19" t="s">
        <v>58</v>
      </c>
      <c r="C7" s="20" t="s">
        <v>59</v>
      </c>
      <c r="D7" s="19" t="s">
        <v>98</v>
      </c>
    </row>
    <row r="8" spans="1:4">
      <c r="A8" s="27">
        <v>7</v>
      </c>
      <c r="B8" s="19" t="s">
        <v>94</v>
      </c>
      <c r="C8" s="20" t="s">
        <v>95</v>
      </c>
      <c r="D8" s="19" t="s">
        <v>98</v>
      </c>
    </row>
    <row r="9" spans="1:4">
      <c r="A9" s="27">
        <v>8</v>
      </c>
      <c r="B9" s="19" t="s">
        <v>97</v>
      </c>
      <c r="C9" s="20" t="s">
        <v>99</v>
      </c>
      <c r="D9" s="19" t="s">
        <v>98</v>
      </c>
    </row>
    <row r="10" spans="1:4">
      <c r="A10" s="27">
        <v>9</v>
      </c>
      <c r="B10" s="19" t="s">
        <v>100</v>
      </c>
      <c r="C10" s="20" t="s">
        <v>101</v>
      </c>
      <c r="D10" s="25" t="s">
        <v>98</v>
      </c>
    </row>
    <row r="11" spans="1:4">
      <c r="A11" s="27">
        <v>10</v>
      </c>
      <c r="B11" s="19" t="s">
        <v>102</v>
      </c>
      <c r="C11" s="21" t="s">
        <v>103</v>
      </c>
      <c r="D11" s="25" t="s">
        <v>98</v>
      </c>
    </row>
    <row r="12" spans="1:4">
      <c r="A12" s="27">
        <v>11</v>
      </c>
      <c r="B12" s="19" t="s">
        <v>104</v>
      </c>
      <c r="C12" s="20" t="s">
        <v>109</v>
      </c>
      <c r="D12" s="23" t="s">
        <v>98</v>
      </c>
    </row>
    <row r="13" spans="1:4">
      <c r="A13" s="27">
        <v>12</v>
      </c>
      <c r="B13" s="19" t="s">
        <v>127</v>
      </c>
      <c r="C13" s="22" t="s">
        <v>128</v>
      </c>
      <c r="D13" s="26" t="s">
        <v>98</v>
      </c>
    </row>
    <row r="14" spans="1:4">
      <c r="A14" s="27">
        <v>13</v>
      </c>
      <c r="B14" s="19" t="s">
        <v>129</v>
      </c>
      <c r="C14" s="22" t="s">
        <v>130</v>
      </c>
      <c r="D14" s="26" t="s">
        <v>98</v>
      </c>
    </row>
    <row r="15" spans="1:4">
      <c r="A15" s="27">
        <v>14</v>
      </c>
      <c r="B15" s="19" t="s">
        <v>139</v>
      </c>
      <c r="C15" s="18" t="s">
        <v>140</v>
      </c>
      <c r="D15" s="26" t="s">
        <v>98</v>
      </c>
    </row>
    <row r="16" spans="1:4">
      <c r="A16" s="27">
        <v>15</v>
      </c>
      <c r="B16" s="19" t="s">
        <v>137</v>
      </c>
      <c r="C16" s="22" t="s">
        <v>138</v>
      </c>
      <c r="D16" s="26" t="s">
        <v>98</v>
      </c>
    </row>
    <row r="17" spans="1:5">
      <c r="A17" s="27">
        <v>16</v>
      </c>
      <c r="B17" s="19" t="s">
        <v>144</v>
      </c>
      <c r="C17" s="18" t="s">
        <v>145</v>
      </c>
      <c r="D17" s="26" t="s">
        <v>98</v>
      </c>
    </row>
    <row r="18" spans="1:5">
      <c r="A18" s="27">
        <v>17</v>
      </c>
      <c r="B18" s="19" t="s">
        <v>150</v>
      </c>
      <c r="C18" s="21" t="s">
        <v>151</v>
      </c>
      <c r="D18" s="26" t="s">
        <v>98</v>
      </c>
    </row>
    <row r="19" spans="1:5">
      <c r="A19" s="27">
        <v>18</v>
      </c>
      <c r="B19" s="23" t="s">
        <v>179</v>
      </c>
      <c r="C19" s="18" t="s">
        <v>178</v>
      </c>
      <c r="D19" s="26" t="s">
        <v>98</v>
      </c>
    </row>
    <row r="20" spans="1:5">
      <c r="A20" s="27">
        <v>19</v>
      </c>
      <c r="B20" s="23" t="s">
        <v>183</v>
      </c>
      <c r="C20" s="18" t="s">
        <v>182</v>
      </c>
      <c r="D20" s="26" t="s">
        <v>98</v>
      </c>
    </row>
    <row r="21" spans="1:5">
      <c r="A21" s="27">
        <v>20</v>
      </c>
      <c r="B21" s="23" t="s">
        <v>222</v>
      </c>
      <c r="C21" s="18" t="s">
        <v>221</v>
      </c>
      <c r="D21" s="26" t="s">
        <v>98</v>
      </c>
    </row>
    <row r="22" spans="1:5">
      <c r="A22" s="27">
        <v>21</v>
      </c>
      <c r="B22" s="23" t="s">
        <v>224</v>
      </c>
      <c r="C22" s="18" t="s">
        <v>223</v>
      </c>
      <c r="D22" s="26" t="s">
        <v>98</v>
      </c>
    </row>
    <row r="23" spans="1:5">
      <c r="A23" s="27">
        <v>22</v>
      </c>
      <c r="B23" s="23" t="s">
        <v>274</v>
      </c>
      <c r="C23" s="18" t="s">
        <v>275</v>
      </c>
      <c r="D23" s="26" t="s">
        <v>98</v>
      </c>
    </row>
    <row r="24" spans="1:5">
      <c r="A24" s="27">
        <v>23</v>
      </c>
      <c r="B24" s="23" t="s">
        <v>292</v>
      </c>
      <c r="C24" s="18" t="s">
        <v>293</v>
      </c>
      <c r="D24" s="26" t="s">
        <v>98</v>
      </c>
    </row>
    <row r="25" spans="1:5">
      <c r="A25" s="27">
        <v>24</v>
      </c>
      <c r="B25" s="25" t="s">
        <v>319</v>
      </c>
      <c r="C25" s="21" t="s">
        <v>320</v>
      </c>
      <c r="D25" s="27" t="s">
        <v>98</v>
      </c>
    </row>
    <row r="26" spans="1:5">
      <c r="A26" s="27">
        <v>25</v>
      </c>
      <c r="B26" s="25" t="s">
        <v>321</v>
      </c>
      <c r="C26" s="21" t="s">
        <v>322</v>
      </c>
      <c r="D26" s="27" t="s">
        <v>98</v>
      </c>
    </row>
    <row r="27" spans="1:5">
      <c r="A27" s="33">
        <v>26</v>
      </c>
      <c r="B27" s="35" t="s">
        <v>325</v>
      </c>
      <c r="C27" s="34" t="s">
        <v>326</v>
      </c>
      <c r="D27" s="33" t="s">
        <v>98</v>
      </c>
      <c r="E27" s="16" t="s">
        <v>351</v>
      </c>
    </row>
    <row r="28" spans="1:5">
      <c r="A28" s="27">
        <v>27</v>
      </c>
      <c r="B28" s="23" t="s">
        <v>328</v>
      </c>
      <c r="C28" s="18" t="s">
        <v>329</v>
      </c>
      <c r="D28" s="26" t="s">
        <v>98</v>
      </c>
      <c r="E28" s="16" t="s">
        <v>351</v>
      </c>
    </row>
    <row r="31" spans="1:5">
      <c r="C31">
        <f>COUNTA(C2:C29)</f>
        <v>27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37E6-FA34-47B1-B4DD-08D32B235666}">
  <dimension ref="A1:D30"/>
  <sheetViews>
    <sheetView topLeftCell="A16" workbookViewId="0">
      <selection activeCell="C24" sqref="C24"/>
    </sheetView>
  </sheetViews>
  <sheetFormatPr defaultRowHeight="14.25"/>
  <cols>
    <col min="1" max="1" width="4.25" style="28" customWidth="1"/>
    <col min="2" max="2" width="11.375" style="24" customWidth="1"/>
    <col min="3" max="3" width="41.625" customWidth="1"/>
    <col min="4" max="4" width="13.875" style="28" customWidth="1"/>
  </cols>
  <sheetData>
    <row r="1" spans="1:4" ht="15.75">
      <c r="A1" s="31" t="s">
        <v>0</v>
      </c>
      <c r="B1" s="32" t="s">
        <v>346</v>
      </c>
      <c r="C1" s="32" t="s">
        <v>347</v>
      </c>
      <c r="D1" s="31" t="s">
        <v>348</v>
      </c>
    </row>
    <row r="2" spans="1:4" ht="15.75">
      <c r="A2" s="27">
        <v>1</v>
      </c>
      <c r="B2" s="19" t="s">
        <v>333</v>
      </c>
      <c r="C2" s="20" t="s">
        <v>51</v>
      </c>
      <c r="D2" s="26" t="s">
        <v>63</v>
      </c>
    </row>
    <row r="3" spans="1:4" ht="15.75">
      <c r="A3" s="27">
        <v>2</v>
      </c>
      <c r="B3" s="19" t="s">
        <v>62</v>
      </c>
      <c r="C3" s="20" t="s">
        <v>70</v>
      </c>
      <c r="D3" s="26" t="s">
        <v>63</v>
      </c>
    </row>
    <row r="4" spans="1:4" ht="15.75">
      <c r="A4" s="27">
        <v>3</v>
      </c>
      <c r="B4" s="19" t="s">
        <v>66</v>
      </c>
      <c r="C4" s="20" t="s">
        <v>72</v>
      </c>
      <c r="D4" s="26" t="s">
        <v>63</v>
      </c>
    </row>
    <row r="5" spans="1:4" ht="15.75">
      <c r="A5" s="27">
        <v>4</v>
      </c>
      <c r="B5" s="19" t="s">
        <v>75</v>
      </c>
      <c r="C5" s="20" t="s">
        <v>76</v>
      </c>
      <c r="D5" s="26" t="s">
        <v>63</v>
      </c>
    </row>
    <row r="6" spans="1:4" ht="15.75">
      <c r="A6" s="27">
        <v>5</v>
      </c>
      <c r="B6" s="19" t="s">
        <v>84</v>
      </c>
      <c r="C6" s="20" t="s">
        <v>92</v>
      </c>
      <c r="D6" s="26" t="s">
        <v>63</v>
      </c>
    </row>
    <row r="7" spans="1:4" ht="15.75">
      <c r="A7" s="27">
        <v>6</v>
      </c>
      <c r="B7" s="19" t="s">
        <v>122</v>
      </c>
      <c r="C7" s="21" t="s">
        <v>121</v>
      </c>
      <c r="D7" s="26" t="s">
        <v>63</v>
      </c>
    </row>
    <row r="8" spans="1:4" ht="15.75">
      <c r="A8" s="27">
        <v>7</v>
      </c>
      <c r="B8" s="19" t="s">
        <v>152</v>
      </c>
      <c r="C8" s="21" t="s">
        <v>153</v>
      </c>
      <c r="D8" s="26" t="s">
        <v>63</v>
      </c>
    </row>
    <row r="9" spans="1:4" ht="15.75">
      <c r="A9" s="27">
        <v>8</v>
      </c>
      <c r="B9" s="19" t="s">
        <v>156</v>
      </c>
      <c r="C9" s="18" t="s">
        <v>157</v>
      </c>
      <c r="D9" s="26" t="s">
        <v>63</v>
      </c>
    </row>
    <row r="10" spans="1:4" ht="15.75">
      <c r="A10" s="27">
        <v>9</v>
      </c>
      <c r="B10" s="19" t="s">
        <v>158</v>
      </c>
      <c r="C10" s="18" t="s">
        <v>159</v>
      </c>
      <c r="D10" s="26" t="s">
        <v>63</v>
      </c>
    </row>
    <row r="11" spans="1:4" ht="15.75">
      <c r="A11" s="27">
        <v>10</v>
      </c>
      <c r="B11" s="19" t="s">
        <v>160</v>
      </c>
      <c r="C11" s="18" t="s">
        <v>161</v>
      </c>
      <c r="D11" s="26" t="s">
        <v>63</v>
      </c>
    </row>
    <row r="12" spans="1:4" ht="15.75">
      <c r="A12" s="27">
        <v>11</v>
      </c>
      <c r="B12" s="23" t="s">
        <v>185</v>
      </c>
      <c r="C12" s="18" t="s">
        <v>186</v>
      </c>
      <c r="D12" s="26" t="s">
        <v>63</v>
      </c>
    </row>
    <row r="13" spans="1:4" ht="15.75">
      <c r="A13" s="27">
        <v>12</v>
      </c>
      <c r="B13" s="23" t="s">
        <v>189</v>
      </c>
      <c r="C13" s="18" t="s">
        <v>190</v>
      </c>
      <c r="D13" s="26" t="s">
        <v>63</v>
      </c>
    </row>
    <row r="14" spans="1:4" ht="15.75">
      <c r="A14" s="27">
        <v>13</v>
      </c>
      <c r="B14" s="23" t="s">
        <v>191</v>
      </c>
      <c r="C14" s="18" t="s">
        <v>192</v>
      </c>
      <c r="D14" s="26" t="s">
        <v>63</v>
      </c>
    </row>
    <row r="15" spans="1:4" ht="15.75">
      <c r="A15" s="27">
        <v>14</v>
      </c>
      <c r="B15" s="23" t="s">
        <v>218</v>
      </c>
      <c r="C15" s="18" t="s">
        <v>217</v>
      </c>
      <c r="D15" s="26" t="s">
        <v>63</v>
      </c>
    </row>
    <row r="16" spans="1:4" ht="15.75">
      <c r="A16" s="27">
        <v>15</v>
      </c>
      <c r="B16" s="23" t="s">
        <v>220</v>
      </c>
      <c r="C16" s="18" t="s">
        <v>219</v>
      </c>
      <c r="D16" s="26" t="s">
        <v>63</v>
      </c>
    </row>
    <row r="17" spans="1:4" ht="15.75">
      <c r="A17" s="27">
        <v>16</v>
      </c>
      <c r="B17" s="23" t="s">
        <v>254</v>
      </c>
      <c r="C17" s="18" t="s">
        <v>255</v>
      </c>
      <c r="D17" s="26" t="s">
        <v>63</v>
      </c>
    </row>
    <row r="18" spans="1:4" ht="15.75">
      <c r="A18" s="27">
        <v>17</v>
      </c>
      <c r="B18" s="23" t="s">
        <v>256</v>
      </c>
      <c r="C18" s="18" t="s">
        <v>257</v>
      </c>
      <c r="D18" s="26" t="s">
        <v>63</v>
      </c>
    </row>
    <row r="19" spans="1:4" ht="15.75">
      <c r="A19" s="27">
        <v>18</v>
      </c>
      <c r="B19" s="23" t="s">
        <v>268</v>
      </c>
      <c r="C19" s="18" t="s">
        <v>269</v>
      </c>
      <c r="D19" s="26" t="s">
        <v>63</v>
      </c>
    </row>
    <row r="20" spans="1:4" ht="15.75">
      <c r="A20" s="27">
        <v>19</v>
      </c>
      <c r="B20" s="23" t="s">
        <v>278</v>
      </c>
      <c r="C20" s="18" t="s">
        <v>279</v>
      </c>
      <c r="D20" s="26" t="s">
        <v>63</v>
      </c>
    </row>
    <row r="21" spans="1:4" ht="15.75">
      <c r="A21" s="27">
        <v>20</v>
      </c>
      <c r="B21" s="23" t="s">
        <v>286</v>
      </c>
      <c r="C21" s="18" t="s">
        <v>287</v>
      </c>
      <c r="D21" s="26" t="s">
        <v>63</v>
      </c>
    </row>
    <row r="22" spans="1:4" ht="15.75">
      <c r="A22" s="27">
        <v>21</v>
      </c>
      <c r="B22" s="23" t="s">
        <v>290</v>
      </c>
      <c r="C22" s="18" t="s">
        <v>291</v>
      </c>
      <c r="D22" s="26" t="s">
        <v>63</v>
      </c>
    </row>
    <row r="23" spans="1:4" ht="15.75">
      <c r="A23" s="27">
        <v>22</v>
      </c>
      <c r="B23" s="23" t="s">
        <v>294</v>
      </c>
      <c r="C23" s="18" t="s">
        <v>295</v>
      </c>
      <c r="D23" s="26" t="s">
        <v>63</v>
      </c>
    </row>
    <row r="24" spans="1:4" ht="15.75">
      <c r="A24" s="27">
        <v>23</v>
      </c>
      <c r="B24" s="23" t="s">
        <v>301</v>
      </c>
      <c r="C24" s="18" t="s">
        <v>302</v>
      </c>
      <c r="D24" s="26" t="s">
        <v>63</v>
      </c>
    </row>
    <row r="25" spans="1:4" ht="15.75">
      <c r="A25" s="27">
        <v>24</v>
      </c>
      <c r="B25" s="23" t="s">
        <v>193</v>
      </c>
      <c r="C25" s="18" t="s">
        <v>194</v>
      </c>
      <c r="D25" s="26" t="s">
        <v>63</v>
      </c>
    </row>
    <row r="26" spans="1:4" ht="15.75">
      <c r="A26" s="27">
        <v>25</v>
      </c>
      <c r="B26" s="23" t="s">
        <v>303</v>
      </c>
      <c r="C26" s="18" t="s">
        <v>304</v>
      </c>
      <c r="D26" s="26" t="s">
        <v>63</v>
      </c>
    </row>
    <row r="27" spans="1:4" ht="15.75">
      <c r="A27" s="27">
        <v>26</v>
      </c>
      <c r="B27" s="23" t="s">
        <v>307</v>
      </c>
      <c r="C27" s="18" t="s">
        <v>308</v>
      </c>
      <c r="D27" s="26" t="s">
        <v>63</v>
      </c>
    </row>
    <row r="28" spans="1:4" ht="15.75">
      <c r="A28" s="27">
        <v>27</v>
      </c>
      <c r="B28" s="23" t="s">
        <v>311</v>
      </c>
      <c r="C28" s="18" t="s">
        <v>312</v>
      </c>
      <c r="D28" s="26" t="s">
        <v>63</v>
      </c>
    </row>
    <row r="30" spans="1:4">
      <c r="C30">
        <f>COUNTA(C2:C29)</f>
        <v>27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B0D9-2AFE-4493-93B1-6A497A80B20C}">
  <dimension ref="A1:D16"/>
  <sheetViews>
    <sheetView tabSelected="1" workbookViewId="0">
      <selection activeCell="C17" sqref="C17"/>
    </sheetView>
  </sheetViews>
  <sheetFormatPr defaultRowHeight="15.75"/>
  <cols>
    <col min="1" max="1" width="4.125" style="30" customWidth="1"/>
    <col min="2" max="2" width="11" style="17" customWidth="1"/>
    <col min="3" max="3" width="34" style="17" customWidth="1"/>
    <col min="4" max="4" width="13.625" style="17" customWidth="1"/>
    <col min="5" max="16384" width="9" style="17"/>
  </cols>
  <sheetData>
    <row r="1" spans="1:4">
      <c r="A1" s="31" t="s">
        <v>0</v>
      </c>
      <c r="B1" s="32" t="s">
        <v>346</v>
      </c>
      <c r="C1" s="32" t="s">
        <v>347</v>
      </c>
      <c r="D1" s="32" t="s">
        <v>348</v>
      </c>
    </row>
    <row r="2" spans="1:4">
      <c r="A2" s="27">
        <v>1</v>
      </c>
      <c r="B2" s="19" t="s">
        <v>332</v>
      </c>
      <c r="C2" s="20" t="s">
        <v>32</v>
      </c>
      <c r="D2" s="19" t="s">
        <v>61</v>
      </c>
    </row>
    <row r="3" spans="1:4">
      <c r="A3" s="27">
        <v>2</v>
      </c>
      <c r="B3" s="19" t="s">
        <v>60</v>
      </c>
      <c r="C3" s="20" t="s">
        <v>69</v>
      </c>
      <c r="D3" s="19" t="s">
        <v>61</v>
      </c>
    </row>
    <row r="4" spans="1:4">
      <c r="A4" s="27">
        <v>3</v>
      </c>
      <c r="B4" s="19" t="s">
        <v>87</v>
      </c>
      <c r="C4" s="20" t="s">
        <v>88</v>
      </c>
      <c r="D4" s="19" t="s">
        <v>61</v>
      </c>
    </row>
    <row r="5" spans="1:4">
      <c r="A5" s="27">
        <v>4</v>
      </c>
      <c r="B5" s="19" t="s">
        <v>85</v>
      </c>
      <c r="C5" s="20" t="s">
        <v>86</v>
      </c>
      <c r="D5" s="19" t="s">
        <v>61</v>
      </c>
    </row>
    <row r="6" spans="1:4">
      <c r="A6" s="27">
        <v>5</v>
      </c>
      <c r="B6" s="19" t="s">
        <v>119</v>
      </c>
      <c r="C6" s="21" t="s">
        <v>120</v>
      </c>
      <c r="D6" s="26" t="s">
        <v>61</v>
      </c>
    </row>
    <row r="7" spans="1:4">
      <c r="A7" s="27">
        <v>6</v>
      </c>
      <c r="B7" s="19" t="s">
        <v>131</v>
      </c>
      <c r="C7" s="22" t="s">
        <v>132</v>
      </c>
      <c r="D7" s="26" t="s">
        <v>61</v>
      </c>
    </row>
    <row r="8" spans="1:4">
      <c r="A8" s="27">
        <v>7</v>
      </c>
      <c r="B8" s="19" t="s">
        <v>133</v>
      </c>
      <c r="C8" s="22" t="s">
        <v>134</v>
      </c>
      <c r="D8" s="26" t="s">
        <v>61</v>
      </c>
    </row>
    <row r="9" spans="1:4">
      <c r="A9" s="27">
        <v>8</v>
      </c>
      <c r="B9" s="19" t="s">
        <v>226</v>
      </c>
      <c r="C9" s="18" t="s">
        <v>225</v>
      </c>
      <c r="D9" s="26" t="s">
        <v>61</v>
      </c>
    </row>
    <row r="10" spans="1:4">
      <c r="A10" s="27">
        <v>9</v>
      </c>
      <c r="B10" s="19" t="s">
        <v>236</v>
      </c>
      <c r="C10" s="18" t="s">
        <v>235</v>
      </c>
      <c r="D10" s="26" t="s">
        <v>61</v>
      </c>
    </row>
    <row r="11" spans="1:4">
      <c r="A11" s="27">
        <v>10</v>
      </c>
      <c r="B11" s="19" t="s">
        <v>234</v>
      </c>
      <c r="C11" s="18" t="s">
        <v>233</v>
      </c>
      <c r="D11" s="26" t="s">
        <v>61</v>
      </c>
    </row>
    <row r="12" spans="1:4">
      <c r="A12" s="27">
        <v>11</v>
      </c>
      <c r="B12" s="19" t="s">
        <v>232</v>
      </c>
      <c r="C12" s="18" t="s">
        <v>231</v>
      </c>
      <c r="D12" s="26" t="s">
        <v>61</v>
      </c>
    </row>
    <row r="13" spans="1:4">
      <c r="A13" s="27">
        <v>12</v>
      </c>
      <c r="B13" s="19" t="s">
        <v>280</v>
      </c>
      <c r="C13" s="18" t="s">
        <v>281</v>
      </c>
      <c r="D13" s="26" t="s">
        <v>61</v>
      </c>
    </row>
    <row r="14" spans="1:4">
      <c r="A14" s="27">
        <v>13</v>
      </c>
      <c r="B14" s="19" t="s">
        <v>323</v>
      </c>
      <c r="C14" s="21" t="s">
        <v>324</v>
      </c>
      <c r="D14" s="27" t="s">
        <v>61</v>
      </c>
    </row>
    <row r="16" spans="1:4">
      <c r="C16" s="17">
        <f>COUNTA(C2:C15)</f>
        <v>13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E381-5D80-4979-BF94-E6ABC2A812C5}">
  <dimension ref="B4:C9"/>
  <sheetViews>
    <sheetView workbookViewId="0">
      <selection activeCell="F8" sqref="F8"/>
    </sheetView>
  </sheetViews>
  <sheetFormatPr defaultRowHeight="14.25"/>
  <cols>
    <col min="2" max="2" width="9.5" bestFit="1" customWidth="1"/>
    <col min="3" max="3" width="9" style="28"/>
  </cols>
  <sheetData>
    <row r="4" spans="2:3">
      <c r="B4" t="s">
        <v>350</v>
      </c>
      <c r="C4" s="28">
        <f>'MTs Putra'!A49</f>
        <v>48</v>
      </c>
    </row>
    <row r="5" spans="2:3">
      <c r="B5" t="s">
        <v>98</v>
      </c>
      <c r="C5" s="28">
        <f>'MTs Putri'!C31</f>
        <v>27</v>
      </c>
    </row>
    <row r="6" spans="2:3">
      <c r="B6" t="s">
        <v>63</v>
      </c>
      <c r="C6" s="28">
        <f>'IL Putra'!C30</f>
        <v>27</v>
      </c>
    </row>
    <row r="7" spans="2:3">
      <c r="B7" t="s">
        <v>61</v>
      </c>
      <c r="C7" s="28">
        <f>'IL Putri'!C16</f>
        <v>13</v>
      </c>
    </row>
    <row r="8" spans="2:3" ht="3" customHeight="1"/>
    <row r="9" spans="2:3">
      <c r="B9" t="s">
        <v>349</v>
      </c>
      <c r="C9" s="28">
        <f>SUM(C4:C8)</f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 Penerimaan Santri</vt:lpstr>
      <vt:lpstr>MTs Putra</vt:lpstr>
      <vt:lpstr>MTs Putri</vt:lpstr>
      <vt:lpstr>IL Putra</vt:lpstr>
      <vt:lpstr>IL Putri</vt:lpstr>
      <vt:lpstr>Jumlah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Kepala QA Al Andalus</dc:creator>
  <cp:lastModifiedBy>hp</cp:lastModifiedBy>
  <cp:lastPrinted>2026-04-07T01:21:11Z</cp:lastPrinted>
  <dcterms:created xsi:type="dcterms:W3CDTF">2025-07-24T00:20:05Z</dcterms:created>
  <dcterms:modified xsi:type="dcterms:W3CDTF">2026-04-07T01:22:04Z</dcterms:modified>
</cp:coreProperties>
</file>