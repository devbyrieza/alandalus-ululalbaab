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/>
  <mc:AlternateContent xmlns:mc="http://schemas.openxmlformats.org/markup-compatibility/2006">
    <mc:Choice Requires="x15">
      <x15ac:absPath xmlns:x15ac="http://schemas.microsoft.com/office/spreadsheetml/2010/11/ac" url="D:\Bachtiar\PANDU\Keuangan\"/>
    </mc:Choice>
  </mc:AlternateContent>
  <xr:revisionPtr revIDLastSave="0" documentId="13_ncr:1_{D98D7185-11A5-49B9-95FA-99612E91D762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Master Data" sheetId="1" r:id="rId1"/>
    <sheet name="Fixed Data" sheetId="2" r:id="rId2"/>
  </sheets>
  <definedNames>
    <definedName name="_xlnm._FilterDatabase" localSheetId="1" hidden="1">'Fixed Data'!$A$5:$O$121</definedName>
    <definedName name="_xlnm._FilterDatabase" localSheetId="0" hidden="1">'Master Data'!$B$5:$O$136</definedName>
    <definedName name="_xlnm.Print_Area" localSheetId="1">'Fixed Data'!$A$1:$O$127</definedName>
    <definedName name="_xlnm.Print_Area" localSheetId="0">'Master Data'!$A$1:$O$142</definedName>
    <definedName name="_xlnm.Print_Titles" localSheetId="1">'Fixed Data'!$3:$4</definedName>
    <definedName name="_xlnm.Print_Titles" localSheetId="0">'Master Data'!$3:$4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4" i="2" l="1"/>
  <c r="M133" i="2"/>
  <c r="E131" i="2"/>
  <c r="E130" i="2"/>
  <c r="H129" i="2"/>
  <c r="E129" i="2"/>
  <c r="E127" i="2"/>
  <c r="E126" i="2"/>
  <c r="E125" i="2"/>
  <c r="E124" i="2"/>
  <c r="E123" i="2"/>
  <c r="L121" i="2"/>
  <c r="K121" i="2"/>
  <c r="J121" i="2"/>
  <c r="I121" i="2"/>
  <c r="H121" i="2"/>
  <c r="G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148" i="1"/>
  <c r="E146" i="1"/>
  <c r="E145" i="1"/>
  <c r="E144" i="1"/>
  <c r="E142" i="1"/>
  <c r="E141" i="1"/>
  <c r="E140" i="1"/>
  <c r="E139" i="1"/>
  <c r="E138" i="1"/>
  <c r="M136" i="1"/>
  <c r="L136" i="1"/>
  <c r="K136" i="1"/>
  <c r="J136" i="1"/>
  <c r="I136" i="1"/>
  <c r="H136" i="1"/>
  <c r="G136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121" i="2" l="1"/>
</calcChain>
</file>

<file path=xl/sharedStrings.xml><?xml version="1.0" encoding="utf-8"?>
<sst xmlns="http://schemas.openxmlformats.org/spreadsheetml/2006/main" count="973" uniqueCount="179">
  <si>
    <t>Data Pembayaran Uang Pangkal Santri Ponpes Al Andalus Ulul Albaab</t>
  </si>
  <si>
    <t>Tahun Pelajaran 2026/2027</t>
  </si>
  <si>
    <t>No</t>
  </si>
  <si>
    <t>NIS</t>
  </si>
  <si>
    <t>NISN</t>
  </si>
  <si>
    <t>Nama Santri</t>
  </si>
  <si>
    <t>L/P</t>
  </si>
  <si>
    <t>Kelas</t>
  </si>
  <si>
    <t>Jumlah Uang Pangkal</t>
  </si>
  <si>
    <t>Uang Pangkal</t>
  </si>
  <si>
    <t>Sisa Pembayaran</t>
  </si>
  <si>
    <t>Tgl Sebar Surat</t>
  </si>
  <si>
    <t>Keterangan</t>
  </si>
  <si>
    <t>Angs 1</t>
  </si>
  <si>
    <t>Angs 2</t>
  </si>
  <si>
    <t>Angs 3</t>
  </si>
  <si>
    <t>Angs 4</t>
  </si>
  <si>
    <t>Angs 5</t>
  </si>
  <si>
    <t>Daffa Taamir Alfarizi</t>
  </si>
  <si>
    <t xml:space="preserve">L </t>
  </si>
  <si>
    <t>MTs Putra</t>
  </si>
  <si>
    <t>04 Oktober 2025</t>
  </si>
  <si>
    <t>Keyza Qaireen</t>
  </si>
  <si>
    <t>P</t>
  </si>
  <si>
    <t>MTs Putri</t>
  </si>
  <si>
    <t>Aina Syahmina Givani</t>
  </si>
  <si>
    <t>Aisyah</t>
  </si>
  <si>
    <t>Anak Staff</t>
  </si>
  <si>
    <t xml:space="preserve">Abu Reihan Al Fajri </t>
  </si>
  <si>
    <t>L</t>
  </si>
  <si>
    <t>Adibah Saefulloh</t>
  </si>
  <si>
    <t>orang pusat</t>
  </si>
  <si>
    <t>Muhammad Umar Ali</t>
  </si>
  <si>
    <t xml:space="preserve">Haneef Abdurrahman </t>
  </si>
  <si>
    <t>Ksatria Hudzaifah Al Mizzi</t>
  </si>
  <si>
    <t>IL Putra</t>
  </si>
  <si>
    <t>Muhammad Hilmy Ilyasa Rizal</t>
  </si>
  <si>
    <t>Nahnurizko Nabhan Farghali</t>
  </si>
  <si>
    <t>Lunas</t>
  </si>
  <si>
    <t>Hilda Sahlannisa</t>
  </si>
  <si>
    <t>IL Putri</t>
  </si>
  <si>
    <t>Hanifah Qurrotal'ain</t>
  </si>
  <si>
    <t>Muhammad Hanif Ash Shiddiq</t>
  </si>
  <si>
    <t>Sulthan Faqih Al Hadziq</t>
  </si>
  <si>
    <t>07 Oktober 2025</t>
  </si>
  <si>
    <t>Sarah Afifah</t>
  </si>
  <si>
    <t>09 Oktober 2025</t>
  </si>
  <si>
    <t>Widya Meilani Zahra</t>
  </si>
  <si>
    <t>akamsi</t>
  </si>
  <si>
    <t>Keanu Azka Wibowo</t>
  </si>
  <si>
    <t>Nadira Salsabila Apriliani</t>
  </si>
  <si>
    <t>Muhammad Arkan</t>
  </si>
  <si>
    <t xml:space="preserve">Ihsan Abdul Hakim </t>
  </si>
  <si>
    <t xml:space="preserve">Yahya Azka Ya'Sub </t>
  </si>
  <si>
    <t>Hafizh Abdurrahman</t>
  </si>
  <si>
    <t>Azka Ulinnuha</t>
  </si>
  <si>
    <t>Muhammad Asyam Abdullah</t>
  </si>
  <si>
    <t>Satria Panca Desmara</t>
  </si>
  <si>
    <t>Abudzar Al Mahbub</t>
  </si>
  <si>
    <t>Raihan Farzin</t>
  </si>
  <si>
    <t>Siti Hafshoh Sholihah</t>
  </si>
  <si>
    <t>Siti Azizah</t>
  </si>
  <si>
    <t>10 Oktober 2025</t>
  </si>
  <si>
    <t>Granada Khansa El Qibtiya</t>
  </si>
  <si>
    <t>Shakira Nur Aisyah</t>
  </si>
  <si>
    <t>Janeeta Candy Hinata</t>
  </si>
  <si>
    <t>Alesha Az Zahra Saputra</t>
  </si>
  <si>
    <t>11 Oktober 2025</t>
  </si>
  <si>
    <t>Maryam Al-Kayyisah</t>
  </si>
  <si>
    <t>Undur Diri</t>
  </si>
  <si>
    <t>Artka Hasbina Azhuary</t>
  </si>
  <si>
    <t>Umar Fawwaz</t>
  </si>
  <si>
    <t>14 Oktober 2025</t>
  </si>
  <si>
    <t>Azka Khairul Ichsan Hasugiana</t>
  </si>
  <si>
    <t>Nisrina Qurrota Aini</t>
  </si>
  <si>
    <t>Farhan Ibadurrohman</t>
  </si>
  <si>
    <t>Muhammad Raihan Alfawwaz</t>
  </si>
  <si>
    <t>Muhammad Al-Fatih Fadhly</t>
  </si>
  <si>
    <t>16 Oktober 2025</t>
  </si>
  <si>
    <t>Ulfia Nurfauziah</t>
  </si>
  <si>
    <t>Siti Fatimah Azzahra</t>
  </si>
  <si>
    <t>Siti Arafah</t>
  </si>
  <si>
    <t>Adinda Humaira</t>
  </si>
  <si>
    <t>Arrayyan Abdur Rashid</t>
  </si>
  <si>
    <t>Hanifah Azahra Putri</t>
  </si>
  <si>
    <t>Qisya Rahma Kamila</t>
  </si>
  <si>
    <t>Ahadan Nazka Harits</t>
  </si>
  <si>
    <t>24 Oktober 2025</t>
  </si>
  <si>
    <t>Hana Dwi Rinjani</t>
  </si>
  <si>
    <t>Akhdan Azkiya Mahdy</t>
  </si>
  <si>
    <t>28 Oktober 2025</t>
  </si>
  <si>
    <t>Qaesyara Siti Zafna Fitriyadi</t>
  </si>
  <si>
    <t>Faeyza Izzatul Khairy</t>
  </si>
  <si>
    <t>Khalid Muhammad Affiq</t>
  </si>
  <si>
    <t>Abdurraman Umar</t>
  </si>
  <si>
    <t>Nizar</t>
  </si>
  <si>
    <t>Adhyasta Widyadhana</t>
  </si>
  <si>
    <t>Alifadhilah Irhab Hauzan</t>
  </si>
  <si>
    <t>Muhammad Usman Ali</t>
  </si>
  <si>
    <t>Putra Perdana</t>
  </si>
  <si>
    <t>Fatih Kenzie Dzulian Anado</t>
  </si>
  <si>
    <t>Shafwan Iyadh Addarimy</t>
  </si>
  <si>
    <t>Eshan Kazim</t>
  </si>
  <si>
    <t>Rizkia Aulia Az Zahra</t>
  </si>
  <si>
    <t>Syahira Zahratul Islam</t>
  </si>
  <si>
    <t>dibayar tgl 25 Nov</t>
  </si>
  <si>
    <t>Alika Aisyah Putri</t>
  </si>
  <si>
    <t>Hibban Hibaturrahman</t>
  </si>
  <si>
    <t>Fathan Syahril Suseno</t>
  </si>
  <si>
    <t>Muhammad Irsyad</t>
  </si>
  <si>
    <t>dibayar tgl 30 Nov</t>
  </si>
  <si>
    <t>Suhail Aiman</t>
  </si>
  <si>
    <t>Abdurrahman</t>
  </si>
  <si>
    <t>Abbas Raihan</t>
  </si>
  <si>
    <t>Bisma Adhi Saputra</t>
  </si>
  <si>
    <t>Adlin Ar Rihaily</t>
  </si>
  <si>
    <t>Zihan Muzainah Zein</t>
  </si>
  <si>
    <t>Najla Ulfa</t>
  </si>
  <si>
    <t>Faruq Ahmad Asy-Syirbuni</t>
  </si>
  <si>
    <t>Ahmad Kamaludin</t>
  </si>
  <si>
    <t>Naisya Tazqia Qolbi</t>
  </si>
  <si>
    <t>Nidaul Husna</t>
  </si>
  <si>
    <t>Unaysah</t>
  </si>
  <si>
    <t>Fatan Ihya As-Sunnah</t>
  </si>
  <si>
    <t>Muhammad Nadhif Raisyauqy</t>
  </si>
  <si>
    <t>Urwatulwutsqo</t>
  </si>
  <si>
    <t>mengundurkan diri</t>
  </si>
  <si>
    <t>Rifqi Fathurrohman</t>
  </si>
  <si>
    <t>Muhammad Dafa Athallah</t>
  </si>
  <si>
    <t>Aisah</t>
  </si>
  <si>
    <t>Ambia Addaruqutni Julpasa</t>
  </si>
  <si>
    <t>Kafie Arkan Rafiqi</t>
  </si>
  <si>
    <t>Nouvalldy Farzani Prayoga</t>
  </si>
  <si>
    <t>Muhammad Kamil Athaillah Rizki</t>
  </si>
  <si>
    <t>M. Rezza Putra Darma</t>
  </si>
  <si>
    <t>Rezvan Zhian Agusto</t>
  </si>
  <si>
    <t>Faiz Abdussalam Taslim Budidoyo</t>
  </si>
  <si>
    <t>Riyadi Wirawan</t>
  </si>
  <si>
    <t>Sulthon Abrisam Karim</t>
  </si>
  <si>
    <t>Ruwaifi</t>
  </si>
  <si>
    <t>Fathi Fahlevi Fahmi</t>
  </si>
  <si>
    <t>Malka Firdaus Syarif</t>
  </si>
  <si>
    <t>Donli Caesar Norton</t>
  </si>
  <si>
    <t>Umar</t>
  </si>
  <si>
    <t>Muhammad Nizar</t>
  </si>
  <si>
    <t>Anastasya Putri</t>
  </si>
  <si>
    <t>Abdurrahman Hafizh Ayyasi</t>
  </si>
  <si>
    <t>Salman Alfarizi Alamsyah</t>
  </si>
  <si>
    <t>Azkia Salsabila</t>
  </si>
  <si>
    <t>Hamzah Aqil</t>
  </si>
  <si>
    <t>Arjuna Permana Putra</t>
  </si>
  <si>
    <t>Muhammad Risky Shapin</t>
  </si>
  <si>
    <t>Khotibul Syafiiq</t>
  </si>
  <si>
    <t>Mizan Alghifary Dizlilar</t>
  </si>
  <si>
    <t>Aisha Alifa Noor Attarini</t>
  </si>
  <si>
    <t>Muhammad Naufal Rafif Athallah</t>
  </si>
  <si>
    <t>Muhammad Syauqi Abdul Haq</t>
  </si>
  <si>
    <t>Abdurrahman Dihyah Arrobi</t>
  </si>
  <si>
    <t>Ahmad Vickhy Wijaya</t>
  </si>
  <si>
    <t>Muhamad Hamudi Alfariji</t>
  </si>
  <si>
    <t>Muhammad Al Fathih</t>
  </si>
  <si>
    <t>Aditya Afhan Dhiyaulhaq Ilham</t>
  </si>
  <si>
    <t>Kamil Iskandar</t>
  </si>
  <si>
    <t>Muhammad Hilman Alfarisi</t>
  </si>
  <si>
    <t>Naufal Taqqy Hafifurrahman</t>
  </si>
  <si>
    <t>Al Raffi Hafizh Irham Zakaria</t>
  </si>
  <si>
    <t>Muhammad Ghaza</t>
  </si>
  <si>
    <t>Khubaib Abdul Aziz</t>
  </si>
  <si>
    <t>Ananda Hezky Fayeza</t>
  </si>
  <si>
    <t>MTS Putra</t>
  </si>
  <si>
    <t>MTS Putri</t>
  </si>
  <si>
    <t>SMA</t>
  </si>
  <si>
    <t>Satria Ibrahim Tamaoki</t>
  </si>
  <si>
    <t>Lunas/pusat</t>
  </si>
  <si>
    <t>tanggal 1 bayar</t>
  </si>
  <si>
    <t>Aisha Salma Mutmainnah</t>
  </si>
  <si>
    <t>Naisya Ashadiya R</t>
  </si>
  <si>
    <t>Zakaria Reynaldo</t>
  </si>
  <si>
    <t>14Oktober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</si>
</sst>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&quot;Rp&quot;* #,##0_);_(&quot;Rp&quot;* \(#,##0\);_(&quot;Rp&quot;* &quot;-&quot;_);_(@_)"/>
    <numFmt numFmtId="166" formatCode="_(* #,##0_);_(* \(#,##0\);_(* &quot;-&quot;??_);_(@_)"/>
    <numFmt numFmtId="167" formatCode="[$-809]dd\ mmmm\ yyyy;@"/>
    <numFmt numFmtId="168" formatCode="_(* #,##0_);_(* \(#,##0\);_(* \-??_);_(@_)"/>
  </numFmts>
  <fonts count="5">
    <font>
      <sz val="11"/>
      <color theme="1"/>
      <name val="Calibri"/>
      <charset val="1"/>
      <scheme val="minor"/>
    </font>
    <font>
      <sz val="12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b/>
      <sz val="12"/>
      <name val="Calibri Light"/>
      <charset val="134"/>
      <scheme val="major"/>
    </font>
    <font>
      <sz val="11"/>
      <color theme="1"/>
      <name val="Calibri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wrapText="1"/>
    </xf>
    <xf numFmtId="42" fontId="3" fillId="0" borderId="3" xfId="0" applyNumberFormat="1" applyFont="1" applyFill="1" applyBorder="1" applyAlignment="1">
      <alignment horizontal="center" vertical="center" wrapText="1"/>
    </xf>
    <xf numFmtId="166" fontId="1" fillId="5" borderId="3" xfId="1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 wrapText="1"/>
    </xf>
    <xf numFmtId="42" fontId="3" fillId="5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42" fontId="3" fillId="6" borderId="3" xfId="0" applyNumberFormat="1" applyFont="1" applyFill="1" applyBorder="1" applyAlignment="1">
      <alignment horizontal="center" vertical="center" wrapText="1"/>
    </xf>
    <xf numFmtId="166" fontId="1" fillId="6" borderId="3" xfId="1" applyNumberFormat="1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166" fontId="1" fillId="0" borderId="3" xfId="1" applyNumberFormat="1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 wrapText="1"/>
    </xf>
    <xf numFmtId="42" fontId="3" fillId="8" borderId="3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166" fontId="1" fillId="8" borderId="3" xfId="1" applyNumberFormat="1" applyFont="1" applyFill="1" applyBorder="1" applyAlignment="1">
      <alignment horizontal="left" vertical="center" wrapText="1"/>
    </xf>
    <xf numFmtId="167" fontId="1" fillId="0" borderId="3" xfId="1" applyNumberFormat="1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42" fontId="3" fillId="7" borderId="3" xfId="0" applyNumberFormat="1" applyFont="1" applyFill="1" applyBorder="1" applyAlignment="1">
      <alignment horizontal="center" vertical="center" wrapText="1"/>
    </xf>
    <xf numFmtId="166" fontId="1" fillId="7" borderId="3" xfId="1" applyNumberFormat="1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justify" vertical="center"/>
    </xf>
    <xf numFmtId="166" fontId="2" fillId="10" borderId="3" xfId="0" applyNumberFormat="1" applyFont="1" applyFill="1" applyBorder="1" applyAlignment="1">
      <alignment horizontal="center" vertical="center"/>
    </xf>
    <xf numFmtId="166" fontId="2" fillId="10" borderId="3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165" fontId="1" fillId="0" borderId="0" xfId="2" applyNumberFormat="1" applyFont="1" applyFill="1" applyBorder="1" applyAlignment="1">
      <alignment vertical="center"/>
    </xf>
    <xf numFmtId="165" fontId="1" fillId="0" borderId="0" xfId="2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5" fontId="1" fillId="0" borderId="3" xfId="2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/>
    <xf numFmtId="165" fontId="2" fillId="0" borderId="0" xfId="0" applyNumberFormat="1" applyFont="1" applyFill="1" applyBorder="1" applyAlignment="1">
      <alignment horizontal="center"/>
    </xf>
    <xf numFmtId="167" fontId="1" fillId="7" borderId="3" xfId="1" applyNumberFormat="1" applyFont="1" applyFill="1" applyBorder="1" applyAlignment="1">
      <alignment horizontal="left" vertical="center" wrapText="1"/>
    </xf>
    <xf numFmtId="167" fontId="1" fillId="6" borderId="3" xfId="1" applyNumberFormat="1" applyFont="1" applyFill="1" applyBorder="1" applyAlignment="1">
      <alignment horizontal="left" vertical="center" wrapText="1"/>
    </xf>
    <xf numFmtId="0" fontId="1" fillId="0" borderId="3" xfId="1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168" fontId="1" fillId="7" borderId="3" xfId="1" applyNumberFormat="1" applyFont="1" applyFill="1" applyBorder="1" applyAlignment="1" applyProtection="1">
      <alignment horizontal="left" vertical="center"/>
    </xf>
    <xf numFmtId="166" fontId="1" fillId="0" borderId="3" xfId="1" quotePrefix="1" applyNumberFormat="1" applyFont="1" applyFill="1" applyBorder="1" applyAlignment="1">
      <alignment horizontal="left" vertical="center" wrapText="1"/>
    </xf>
    <xf numFmtId="166" fontId="1" fillId="5" borderId="3" xfId="1" quotePrefix="1" applyNumberFormat="1" applyFont="1" applyFill="1" applyBorder="1" applyAlignment="1">
      <alignment horizontal="left" vertical="center" wrapText="1"/>
    </xf>
    <xf numFmtId="166" fontId="1" fillId="6" borderId="3" xfId="1" quotePrefix="1" applyNumberFormat="1" applyFont="1" applyFill="1" applyBorder="1" applyAlignment="1">
      <alignment horizontal="left" vertical="center" wrapText="1"/>
    </xf>
    <xf numFmtId="166" fontId="1" fillId="8" borderId="3" xfId="1" quotePrefix="1" applyNumberFormat="1" applyFont="1" applyFill="1" applyBorder="1" applyAlignment="1">
      <alignment horizontal="left" vertical="center" wrapText="1"/>
    </xf>
    <xf numFmtId="166" fontId="1" fillId="7" borderId="3" xfId="1" quotePrefix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8"/>
  <sheetViews>
    <sheetView zoomScale="110" zoomScaleNormal="110" workbookViewId="0">
      <pane xSplit="8" ySplit="5" topLeftCell="L106" activePane="bottomRight" state="frozen"/>
      <selection pane="topRight"/>
      <selection pane="bottomLeft"/>
      <selection pane="bottomRight" activeCell="F14" sqref="F14:F132"/>
    </sheetView>
  </sheetViews>
  <sheetFormatPr defaultColWidth="9.140625" defaultRowHeight="15.75"/>
  <cols>
    <col min="1" max="1" width="4.42578125" style="2" customWidth="1"/>
    <col min="2" max="2" width="13.7109375" style="2" hidden="1" customWidth="1"/>
    <col min="3" max="3" width="16.5703125" style="2" hidden="1" customWidth="1"/>
    <col min="4" max="4" width="29.140625" style="2" customWidth="1"/>
    <col min="5" max="5" width="6.140625" style="3" customWidth="1"/>
    <col min="6" max="6" width="10.28515625" style="2" customWidth="1"/>
    <col min="7" max="7" width="16.85546875" style="2" customWidth="1"/>
    <col min="8" max="8" width="15.5703125" style="2" customWidth="1"/>
    <col min="9" max="12" width="13.7109375" style="2" customWidth="1"/>
    <col min="13" max="13" width="15.5703125" style="2" customWidth="1"/>
    <col min="14" max="14" width="20.5703125" style="2" customWidth="1"/>
    <col min="15" max="15" width="16.5703125" style="2" customWidth="1"/>
    <col min="16" max="16384" width="9.140625" style="2"/>
  </cols>
  <sheetData>
    <row r="1" spans="1:15" ht="18.9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8.95" customHeight="1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ht="15.75" customHeight="1">
      <c r="A3" s="73" t="s">
        <v>2</v>
      </c>
      <c r="B3" s="73" t="s">
        <v>3</v>
      </c>
      <c r="C3" s="73" t="s">
        <v>4</v>
      </c>
      <c r="D3" s="73" t="s">
        <v>5</v>
      </c>
      <c r="E3" s="73" t="s">
        <v>6</v>
      </c>
      <c r="F3" s="73" t="s">
        <v>7</v>
      </c>
      <c r="G3" s="75" t="s">
        <v>8</v>
      </c>
      <c r="H3" s="70" t="s">
        <v>9</v>
      </c>
      <c r="I3" s="70"/>
      <c r="J3" s="70"/>
      <c r="K3" s="70"/>
      <c r="L3" s="70"/>
      <c r="M3" s="77" t="s">
        <v>10</v>
      </c>
      <c r="N3" s="77" t="s">
        <v>11</v>
      </c>
      <c r="O3" s="79" t="s">
        <v>12</v>
      </c>
    </row>
    <row r="4" spans="1:15">
      <c r="A4" s="74"/>
      <c r="B4" s="74"/>
      <c r="C4" s="74"/>
      <c r="D4" s="74"/>
      <c r="E4" s="74"/>
      <c r="F4" s="74"/>
      <c r="G4" s="76"/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78"/>
      <c r="N4" s="78"/>
      <c r="O4" s="80"/>
    </row>
    <row r="5" spans="1:15" ht="9" customHeight="1">
      <c r="A5" s="5"/>
      <c r="B5" s="5"/>
      <c r="C5" s="5"/>
      <c r="D5" s="6"/>
      <c r="E5" s="6"/>
      <c r="F5" s="5"/>
      <c r="G5" s="7"/>
      <c r="H5" s="5"/>
      <c r="I5" s="5"/>
      <c r="J5" s="5"/>
      <c r="K5" s="6"/>
      <c r="L5" s="6"/>
      <c r="M5" s="29"/>
      <c r="N5" s="29"/>
      <c r="O5" s="29"/>
    </row>
    <row r="6" spans="1:15" s="1" customFormat="1" hidden="1">
      <c r="A6" s="8">
        <v>1</v>
      </c>
      <c r="B6" s="9"/>
      <c r="C6" s="9"/>
      <c r="D6" s="10" t="s">
        <v>18</v>
      </c>
      <c r="E6" s="8" t="s">
        <v>19</v>
      </c>
      <c r="F6" s="8" t="s">
        <v>20</v>
      </c>
      <c r="G6" s="11">
        <v>9800000</v>
      </c>
      <c r="H6" s="12">
        <v>4900000</v>
      </c>
      <c r="I6" s="30"/>
      <c r="J6" s="30"/>
      <c r="K6" s="30"/>
      <c r="L6" s="30"/>
      <c r="M6" s="24">
        <f>G6-H6-I6-J6-K6-L6</f>
        <v>4900000</v>
      </c>
      <c r="N6" s="63" t="s">
        <v>21</v>
      </c>
      <c r="O6" s="31"/>
    </row>
    <row r="7" spans="1:15" s="1" customFormat="1" ht="20.100000000000001" hidden="1" customHeight="1">
      <c r="A7" s="8">
        <v>2</v>
      </c>
      <c r="B7" s="13"/>
      <c r="C7" s="8"/>
      <c r="D7" s="10" t="s">
        <v>22</v>
      </c>
      <c r="E7" s="13" t="s">
        <v>23</v>
      </c>
      <c r="F7" s="13" t="s">
        <v>24</v>
      </c>
      <c r="G7" s="11">
        <v>9800000</v>
      </c>
      <c r="H7" s="12">
        <v>4900000</v>
      </c>
      <c r="I7" s="24"/>
      <c r="J7" s="24"/>
      <c r="K7" s="24"/>
      <c r="L7" s="24"/>
      <c r="M7" s="24">
        <f t="shared" ref="M7:M40" si="0">G7-H7-I7-J7-K7-L7</f>
        <v>4900000</v>
      </c>
      <c r="N7" s="63" t="s">
        <v>21</v>
      </c>
      <c r="O7" s="10"/>
    </row>
    <row r="8" spans="1:15" s="1" customFormat="1" ht="20.100000000000001" hidden="1" customHeight="1">
      <c r="A8" s="8">
        <v>3</v>
      </c>
      <c r="B8" s="13"/>
      <c r="C8" s="8"/>
      <c r="D8" s="10" t="s">
        <v>25</v>
      </c>
      <c r="E8" s="13" t="s">
        <v>23</v>
      </c>
      <c r="F8" s="13" t="s">
        <v>24</v>
      </c>
      <c r="G8" s="11">
        <v>9800000</v>
      </c>
      <c r="H8" s="12">
        <v>4900000</v>
      </c>
      <c r="I8" s="24"/>
      <c r="J8" s="24"/>
      <c r="K8" s="24"/>
      <c r="L8" s="24"/>
      <c r="M8" s="24">
        <f t="shared" si="0"/>
        <v>4900000</v>
      </c>
      <c r="N8" s="63" t="s">
        <v>21</v>
      </c>
      <c r="O8" s="10"/>
    </row>
    <row r="9" spans="1:15" s="1" customFormat="1" ht="20.100000000000001" hidden="1" customHeight="1">
      <c r="A9" s="8">
        <v>4</v>
      </c>
      <c r="B9" s="14"/>
      <c r="C9" s="15"/>
      <c r="D9" s="16" t="s">
        <v>26</v>
      </c>
      <c r="E9" s="14" t="s">
        <v>23</v>
      </c>
      <c r="F9" s="14" t="s">
        <v>24</v>
      </c>
      <c r="G9" s="17"/>
      <c r="H9" s="12"/>
      <c r="I9" s="12"/>
      <c r="J9" s="12"/>
      <c r="K9" s="12"/>
      <c r="L9" s="12"/>
      <c r="M9" s="24">
        <f t="shared" si="0"/>
        <v>0</v>
      </c>
      <c r="N9" s="64" t="s">
        <v>21</v>
      </c>
      <c r="O9" s="16" t="s">
        <v>27</v>
      </c>
    </row>
    <row r="10" spans="1:15" s="1" customFormat="1" ht="20.100000000000001" hidden="1" customHeight="1">
      <c r="A10" s="8">
        <v>5</v>
      </c>
      <c r="B10" s="13"/>
      <c r="C10" s="8"/>
      <c r="D10" s="10" t="s">
        <v>28</v>
      </c>
      <c r="E10" s="13" t="s">
        <v>29</v>
      </c>
      <c r="F10" s="8" t="s">
        <v>20</v>
      </c>
      <c r="G10" s="11">
        <v>9800000</v>
      </c>
      <c r="H10" s="12">
        <v>4900000</v>
      </c>
      <c r="I10" s="24"/>
      <c r="J10" s="24"/>
      <c r="K10" s="24"/>
      <c r="L10" s="24"/>
      <c r="M10" s="24">
        <f t="shared" si="0"/>
        <v>4900000</v>
      </c>
      <c r="N10" s="63" t="s">
        <v>21</v>
      </c>
      <c r="O10" s="10"/>
    </row>
    <row r="11" spans="1:15" s="1" customFormat="1" ht="20.100000000000001" hidden="1" customHeight="1">
      <c r="A11" s="61">
        <v>6</v>
      </c>
      <c r="B11" s="13"/>
      <c r="C11" s="8"/>
      <c r="D11" s="18" t="s">
        <v>30</v>
      </c>
      <c r="E11" s="19" t="s">
        <v>23</v>
      </c>
      <c r="F11" s="19" t="s">
        <v>24</v>
      </c>
      <c r="G11" s="20">
        <v>9800000</v>
      </c>
      <c r="H11" s="21"/>
      <c r="I11" s="21"/>
      <c r="J11" s="21"/>
      <c r="K11" s="21"/>
      <c r="L11" s="21"/>
      <c r="M11" s="21">
        <f t="shared" si="0"/>
        <v>9800000</v>
      </c>
      <c r="N11" s="65" t="s">
        <v>21</v>
      </c>
      <c r="O11" s="18" t="s">
        <v>31</v>
      </c>
    </row>
    <row r="12" spans="1:15" s="1" customFormat="1" ht="20.100000000000001" hidden="1" customHeight="1">
      <c r="A12" s="8">
        <v>7</v>
      </c>
      <c r="B12" s="22"/>
      <c r="C12" s="23"/>
      <c r="D12" s="10" t="s">
        <v>32</v>
      </c>
      <c r="E12" s="13" t="s">
        <v>29</v>
      </c>
      <c r="F12" s="8" t="s">
        <v>20</v>
      </c>
      <c r="G12" s="11">
        <v>9800000</v>
      </c>
      <c r="H12" s="24">
        <v>4900000</v>
      </c>
      <c r="I12" s="24"/>
      <c r="J12" s="24"/>
      <c r="K12" s="24"/>
      <c r="L12" s="24"/>
      <c r="M12" s="24">
        <f t="shared" si="0"/>
        <v>4900000</v>
      </c>
      <c r="N12" s="63" t="s">
        <v>21</v>
      </c>
      <c r="O12" s="10"/>
    </row>
    <row r="13" spans="1:15" s="1" customFormat="1" ht="20.100000000000001" hidden="1" customHeight="1">
      <c r="A13" s="8">
        <v>8</v>
      </c>
      <c r="B13" s="13"/>
      <c r="C13" s="8"/>
      <c r="D13" s="10" t="s">
        <v>33</v>
      </c>
      <c r="E13" s="13" t="s">
        <v>29</v>
      </c>
      <c r="F13" s="8" t="s">
        <v>20</v>
      </c>
      <c r="G13" s="11">
        <v>9800000</v>
      </c>
      <c r="H13" s="12">
        <v>4900000</v>
      </c>
      <c r="I13" s="24"/>
      <c r="J13" s="24"/>
      <c r="K13" s="24"/>
      <c r="L13" s="24"/>
      <c r="M13" s="24">
        <f t="shared" si="0"/>
        <v>4900000</v>
      </c>
      <c r="N13" s="63" t="s">
        <v>21</v>
      </c>
      <c r="O13" s="10"/>
    </row>
    <row r="14" spans="1:15" s="1" customFormat="1" ht="20.100000000000001" customHeight="1">
      <c r="A14" s="8">
        <v>9</v>
      </c>
      <c r="B14" s="13"/>
      <c r="C14" s="8"/>
      <c r="D14" s="10" t="s">
        <v>34</v>
      </c>
      <c r="E14" s="13" t="s">
        <v>29</v>
      </c>
      <c r="F14" s="13" t="s">
        <v>35</v>
      </c>
      <c r="G14" s="11">
        <v>9800000</v>
      </c>
      <c r="H14" s="12">
        <v>4900000</v>
      </c>
      <c r="I14" s="24"/>
      <c r="J14" s="24"/>
      <c r="K14" s="24"/>
      <c r="L14" s="24"/>
      <c r="M14" s="24">
        <f t="shared" si="0"/>
        <v>4900000</v>
      </c>
      <c r="N14" s="63" t="s">
        <v>21</v>
      </c>
      <c r="O14" s="10"/>
    </row>
    <row r="15" spans="1:15" s="1" customFormat="1" ht="31.5" hidden="1">
      <c r="A15" s="8">
        <v>10</v>
      </c>
      <c r="B15" s="13"/>
      <c r="C15" s="8"/>
      <c r="D15" s="10" t="s">
        <v>36</v>
      </c>
      <c r="E15" s="13" t="s">
        <v>29</v>
      </c>
      <c r="F15" s="8" t="s">
        <v>20</v>
      </c>
      <c r="G15" s="11">
        <v>9800000</v>
      </c>
      <c r="H15" s="12">
        <v>4900000</v>
      </c>
      <c r="I15" s="24"/>
      <c r="J15" s="24"/>
      <c r="K15" s="24"/>
      <c r="L15" s="24"/>
      <c r="M15" s="24">
        <f t="shared" si="0"/>
        <v>4900000</v>
      </c>
      <c r="N15" s="63" t="s">
        <v>21</v>
      </c>
      <c r="O15" s="10"/>
    </row>
    <row r="16" spans="1:15" s="1" customFormat="1" hidden="1">
      <c r="A16" s="8">
        <v>11</v>
      </c>
      <c r="B16" s="13"/>
      <c r="C16" s="8"/>
      <c r="D16" s="10" t="s">
        <v>37</v>
      </c>
      <c r="E16" s="13" t="s">
        <v>29</v>
      </c>
      <c r="F16" s="8" t="s">
        <v>20</v>
      </c>
      <c r="G16" s="11">
        <v>9800000</v>
      </c>
      <c r="H16" s="12">
        <v>9800000</v>
      </c>
      <c r="I16" s="24"/>
      <c r="J16" s="24"/>
      <c r="K16" s="24"/>
      <c r="L16" s="24"/>
      <c r="M16" s="24">
        <f t="shared" si="0"/>
        <v>0</v>
      </c>
      <c r="N16" s="63" t="s">
        <v>21</v>
      </c>
      <c r="O16" s="10" t="s">
        <v>38</v>
      </c>
    </row>
    <row r="17" spans="1:15" s="1" customFormat="1" ht="20.100000000000001" hidden="1" customHeight="1">
      <c r="A17" s="8">
        <v>12</v>
      </c>
      <c r="B17" s="14"/>
      <c r="C17" s="15"/>
      <c r="D17" s="16" t="s">
        <v>39</v>
      </c>
      <c r="E17" s="14" t="s">
        <v>23</v>
      </c>
      <c r="F17" s="14" t="s">
        <v>40</v>
      </c>
      <c r="G17" s="17"/>
      <c r="H17" s="12"/>
      <c r="I17" s="12"/>
      <c r="J17" s="12"/>
      <c r="K17" s="12"/>
      <c r="L17" s="12"/>
      <c r="M17" s="24">
        <f t="shared" si="0"/>
        <v>0</v>
      </c>
      <c r="N17" s="64" t="s">
        <v>21</v>
      </c>
      <c r="O17" s="16" t="s">
        <v>27</v>
      </c>
    </row>
    <row r="18" spans="1:15" s="1" customFormat="1" ht="20.100000000000001" hidden="1" customHeight="1">
      <c r="A18" s="61">
        <v>13</v>
      </c>
      <c r="B18" s="13"/>
      <c r="C18" s="8"/>
      <c r="D18" s="18" t="s">
        <v>41</v>
      </c>
      <c r="E18" s="19" t="s">
        <v>23</v>
      </c>
      <c r="F18" s="19" t="s">
        <v>24</v>
      </c>
      <c r="G18" s="20">
        <v>9800000</v>
      </c>
      <c r="H18" s="21"/>
      <c r="I18" s="21"/>
      <c r="J18" s="21"/>
      <c r="K18" s="21"/>
      <c r="L18" s="21"/>
      <c r="M18" s="21">
        <f t="shared" si="0"/>
        <v>9800000</v>
      </c>
      <c r="N18" s="65" t="s">
        <v>21</v>
      </c>
      <c r="O18" s="18" t="s">
        <v>31</v>
      </c>
    </row>
    <row r="19" spans="1:15" s="1" customFormat="1" ht="20.100000000000001" hidden="1" customHeight="1">
      <c r="A19" s="8">
        <v>14</v>
      </c>
      <c r="B19" s="13"/>
      <c r="C19" s="8"/>
      <c r="D19" s="10" t="s">
        <v>42</v>
      </c>
      <c r="E19" s="13" t="s">
        <v>29</v>
      </c>
      <c r="F19" s="8" t="s">
        <v>20</v>
      </c>
      <c r="G19" s="11">
        <v>9800000</v>
      </c>
      <c r="H19" s="12">
        <v>4900000</v>
      </c>
      <c r="I19" s="24"/>
      <c r="J19" s="24"/>
      <c r="K19" s="24"/>
      <c r="L19" s="24"/>
      <c r="M19" s="24">
        <f t="shared" si="0"/>
        <v>4900000</v>
      </c>
      <c r="N19" s="63" t="s">
        <v>21</v>
      </c>
      <c r="O19" s="10"/>
    </row>
    <row r="20" spans="1:15" s="1" customFormat="1" ht="20.100000000000001" hidden="1" customHeight="1">
      <c r="A20" s="8">
        <v>15</v>
      </c>
      <c r="B20" s="13"/>
      <c r="C20" s="8"/>
      <c r="D20" s="10" t="s">
        <v>43</v>
      </c>
      <c r="E20" s="13" t="s">
        <v>29</v>
      </c>
      <c r="F20" s="8" t="s">
        <v>20</v>
      </c>
      <c r="G20" s="11">
        <v>9800000</v>
      </c>
      <c r="H20" s="24">
        <v>4900000</v>
      </c>
      <c r="I20" s="24"/>
      <c r="J20" s="24"/>
      <c r="K20" s="24"/>
      <c r="L20" s="24"/>
      <c r="M20" s="24">
        <f t="shared" si="0"/>
        <v>4900000</v>
      </c>
      <c r="N20" s="63" t="s">
        <v>44</v>
      </c>
      <c r="O20" s="10"/>
    </row>
    <row r="21" spans="1:15" s="1" customFormat="1" ht="20.100000000000001" hidden="1" customHeight="1">
      <c r="A21" s="8">
        <v>16</v>
      </c>
      <c r="B21" s="13"/>
      <c r="C21" s="8"/>
      <c r="D21" s="10" t="s">
        <v>45</v>
      </c>
      <c r="E21" s="13" t="s">
        <v>23</v>
      </c>
      <c r="F21" s="13" t="s">
        <v>24</v>
      </c>
      <c r="G21" s="11">
        <v>9800000</v>
      </c>
      <c r="H21" s="12">
        <v>4900000</v>
      </c>
      <c r="I21" s="24"/>
      <c r="J21" s="24"/>
      <c r="K21" s="24"/>
      <c r="L21" s="24"/>
      <c r="M21" s="24">
        <f t="shared" si="0"/>
        <v>4900000</v>
      </c>
      <c r="N21" s="63" t="s">
        <v>46</v>
      </c>
      <c r="O21" s="10"/>
    </row>
    <row r="22" spans="1:15" s="1" customFormat="1" ht="20.100000000000001" hidden="1" customHeight="1">
      <c r="A22" s="8">
        <v>17</v>
      </c>
      <c r="B22" s="25"/>
      <c r="C22" s="26"/>
      <c r="D22" s="27" t="s">
        <v>47</v>
      </c>
      <c r="E22" s="25" t="s">
        <v>23</v>
      </c>
      <c r="F22" s="25" t="s">
        <v>40</v>
      </c>
      <c r="G22" s="28">
        <v>9800000</v>
      </c>
      <c r="H22" s="12">
        <v>1000000</v>
      </c>
      <c r="I22" s="32"/>
      <c r="J22" s="32"/>
      <c r="K22" s="32"/>
      <c r="L22" s="32"/>
      <c r="M22" s="24">
        <f t="shared" si="0"/>
        <v>8800000</v>
      </c>
      <c r="N22" s="66" t="s">
        <v>46</v>
      </c>
      <c r="O22" s="27" t="s">
        <v>48</v>
      </c>
    </row>
    <row r="23" spans="1:15" s="1" customFormat="1" ht="20.100000000000001" customHeight="1">
      <c r="A23" s="8">
        <v>18</v>
      </c>
      <c r="B23" s="13"/>
      <c r="C23" s="8"/>
      <c r="D23" s="10" t="s">
        <v>49</v>
      </c>
      <c r="E23" s="13" t="s">
        <v>29</v>
      </c>
      <c r="F23" s="13" t="s">
        <v>35</v>
      </c>
      <c r="G23" s="11">
        <v>9800000</v>
      </c>
      <c r="H23" s="12">
        <v>5000000</v>
      </c>
      <c r="I23" s="24"/>
      <c r="J23" s="24"/>
      <c r="K23" s="24"/>
      <c r="L23" s="24"/>
      <c r="M23" s="24">
        <f t="shared" si="0"/>
        <v>4800000</v>
      </c>
      <c r="N23" s="63" t="s">
        <v>46</v>
      </c>
      <c r="O23" s="10"/>
    </row>
    <row r="24" spans="1:15" s="1" customFormat="1" ht="20.100000000000001" hidden="1" customHeight="1">
      <c r="A24" s="8">
        <v>19</v>
      </c>
      <c r="B24" s="25"/>
      <c r="C24" s="26"/>
      <c r="D24" s="27" t="s">
        <v>50</v>
      </c>
      <c r="E24" s="25" t="s">
        <v>23</v>
      </c>
      <c r="F24" s="25" t="s">
        <v>40</v>
      </c>
      <c r="G24" s="28">
        <v>9800000</v>
      </c>
      <c r="H24" s="12">
        <v>1000000</v>
      </c>
      <c r="I24" s="32"/>
      <c r="J24" s="32"/>
      <c r="K24" s="32"/>
      <c r="L24" s="32"/>
      <c r="M24" s="24">
        <f t="shared" si="0"/>
        <v>8800000</v>
      </c>
      <c r="N24" s="66" t="s">
        <v>46</v>
      </c>
      <c r="O24" s="27" t="s">
        <v>48</v>
      </c>
    </row>
    <row r="25" spans="1:15" s="1" customFormat="1" ht="20.100000000000001" hidden="1" customHeight="1">
      <c r="A25" s="8">
        <v>20</v>
      </c>
      <c r="B25" s="13"/>
      <c r="C25" s="8"/>
      <c r="D25" s="10" t="s">
        <v>51</v>
      </c>
      <c r="E25" s="13" t="s">
        <v>29</v>
      </c>
      <c r="F25" s="8" t="s">
        <v>20</v>
      </c>
      <c r="G25" s="11">
        <v>9800000</v>
      </c>
      <c r="H25" s="12">
        <v>5000000</v>
      </c>
      <c r="I25" s="24"/>
      <c r="J25" s="24"/>
      <c r="K25" s="24"/>
      <c r="L25" s="24"/>
      <c r="M25" s="24">
        <f t="shared" si="0"/>
        <v>4800000</v>
      </c>
      <c r="N25" s="63" t="s">
        <v>46</v>
      </c>
      <c r="O25" s="10"/>
    </row>
    <row r="26" spans="1:15" s="1" customFormat="1" ht="20.100000000000001" customHeight="1">
      <c r="A26" s="8">
        <v>21</v>
      </c>
      <c r="B26" s="13"/>
      <c r="C26" s="8"/>
      <c r="D26" s="10" t="s">
        <v>52</v>
      </c>
      <c r="E26" s="13" t="s">
        <v>29</v>
      </c>
      <c r="F26" s="13" t="s">
        <v>35</v>
      </c>
      <c r="G26" s="11">
        <v>9800000</v>
      </c>
      <c r="H26" s="12">
        <v>8000000</v>
      </c>
      <c r="I26" s="24"/>
      <c r="J26" s="24"/>
      <c r="K26" s="24"/>
      <c r="L26" s="24"/>
      <c r="M26" s="24">
        <f t="shared" si="0"/>
        <v>1800000</v>
      </c>
      <c r="N26" s="63" t="s">
        <v>46</v>
      </c>
      <c r="O26" s="10"/>
    </row>
    <row r="27" spans="1:15" s="1" customFormat="1" ht="20.100000000000001" hidden="1" customHeight="1">
      <c r="A27" s="8">
        <v>22</v>
      </c>
      <c r="B27" s="13"/>
      <c r="C27" s="8"/>
      <c r="D27" s="10" t="s">
        <v>53</v>
      </c>
      <c r="E27" s="13" t="s">
        <v>29</v>
      </c>
      <c r="F27" s="8" t="s">
        <v>20</v>
      </c>
      <c r="G27" s="11">
        <v>9800000</v>
      </c>
      <c r="H27" s="12">
        <v>5000000</v>
      </c>
      <c r="I27" s="24"/>
      <c r="J27" s="24"/>
      <c r="K27" s="24"/>
      <c r="L27" s="24"/>
      <c r="M27" s="24">
        <f t="shared" si="0"/>
        <v>4800000</v>
      </c>
      <c r="N27" s="63" t="s">
        <v>46</v>
      </c>
      <c r="O27" s="10"/>
    </row>
    <row r="28" spans="1:15" s="1" customFormat="1" ht="20.100000000000001" customHeight="1">
      <c r="A28" s="8">
        <v>23</v>
      </c>
      <c r="B28" s="22"/>
      <c r="C28" s="23"/>
      <c r="D28" s="34" t="s">
        <v>54</v>
      </c>
      <c r="E28" s="22" t="s">
        <v>29</v>
      </c>
      <c r="F28" s="22" t="s">
        <v>35</v>
      </c>
      <c r="G28" s="35"/>
      <c r="H28" s="36"/>
      <c r="I28" s="36"/>
      <c r="J28" s="36"/>
      <c r="K28" s="36"/>
      <c r="L28" s="36"/>
      <c r="M28" s="36">
        <f t="shared" si="0"/>
        <v>0</v>
      </c>
      <c r="N28" s="67" t="s">
        <v>46</v>
      </c>
      <c r="O28" s="34"/>
    </row>
    <row r="29" spans="1:15" s="1" customFormat="1" ht="20.100000000000001" customHeight="1">
      <c r="A29" s="8">
        <v>24</v>
      </c>
      <c r="B29" s="13"/>
      <c r="C29" s="8"/>
      <c r="D29" s="10" t="s">
        <v>55</v>
      </c>
      <c r="E29" s="13" t="s">
        <v>29</v>
      </c>
      <c r="F29" s="13" t="s">
        <v>35</v>
      </c>
      <c r="G29" s="11">
        <v>9800000</v>
      </c>
      <c r="H29" s="12">
        <v>9800000</v>
      </c>
      <c r="I29" s="24"/>
      <c r="J29" s="24"/>
      <c r="K29" s="24"/>
      <c r="L29" s="24"/>
      <c r="M29" s="24">
        <f t="shared" si="0"/>
        <v>0</v>
      </c>
      <c r="N29" s="63" t="s">
        <v>46</v>
      </c>
      <c r="O29" s="10" t="s">
        <v>38</v>
      </c>
    </row>
    <row r="30" spans="1:15" s="1" customFormat="1" ht="20.100000000000001" hidden="1" customHeight="1">
      <c r="A30" s="8">
        <v>25</v>
      </c>
      <c r="B30" s="13"/>
      <c r="C30" s="8"/>
      <c r="D30" s="10" t="s">
        <v>56</v>
      </c>
      <c r="E30" s="13" t="s">
        <v>29</v>
      </c>
      <c r="F30" s="8" t="s">
        <v>20</v>
      </c>
      <c r="G30" s="11">
        <v>9800000</v>
      </c>
      <c r="H30" s="12">
        <v>4900000</v>
      </c>
      <c r="I30" s="24"/>
      <c r="J30" s="24"/>
      <c r="K30" s="24"/>
      <c r="L30" s="24"/>
      <c r="M30" s="24">
        <f t="shared" si="0"/>
        <v>4900000</v>
      </c>
      <c r="N30" s="63" t="s">
        <v>46</v>
      </c>
      <c r="O30" s="10"/>
    </row>
    <row r="31" spans="1:15" s="1" customFormat="1" ht="20.100000000000001" hidden="1" customHeight="1">
      <c r="A31" s="8">
        <v>26</v>
      </c>
      <c r="B31" s="13"/>
      <c r="C31" s="8"/>
      <c r="D31" s="10" t="s">
        <v>57</v>
      </c>
      <c r="E31" s="13" t="s">
        <v>29</v>
      </c>
      <c r="F31" s="8" t="s">
        <v>20</v>
      </c>
      <c r="G31" s="11">
        <v>9800000</v>
      </c>
      <c r="H31" s="12">
        <v>5000000</v>
      </c>
      <c r="I31" s="24"/>
      <c r="J31" s="24"/>
      <c r="K31" s="24"/>
      <c r="L31" s="24"/>
      <c r="M31" s="24">
        <f t="shared" si="0"/>
        <v>4800000</v>
      </c>
      <c r="N31" s="63" t="s">
        <v>46</v>
      </c>
      <c r="O31" s="10"/>
    </row>
    <row r="32" spans="1:15" s="1" customFormat="1" ht="20.100000000000001" hidden="1" customHeight="1">
      <c r="A32" s="8">
        <v>27</v>
      </c>
      <c r="B32" s="13"/>
      <c r="C32" s="8"/>
      <c r="D32" s="10" t="s">
        <v>58</v>
      </c>
      <c r="E32" s="13" t="s">
        <v>29</v>
      </c>
      <c r="F32" s="8" t="s">
        <v>20</v>
      </c>
      <c r="G32" s="11">
        <v>9800000</v>
      </c>
      <c r="H32" s="12">
        <v>4900000</v>
      </c>
      <c r="I32" s="24"/>
      <c r="J32" s="24"/>
      <c r="K32" s="24"/>
      <c r="L32" s="24"/>
      <c r="M32" s="24">
        <f t="shared" si="0"/>
        <v>4900000</v>
      </c>
      <c r="N32" s="63" t="s">
        <v>46</v>
      </c>
      <c r="O32" s="10"/>
    </row>
    <row r="33" spans="1:15" s="1" customFormat="1" ht="20.100000000000001" customHeight="1">
      <c r="A33" s="8">
        <v>28</v>
      </c>
      <c r="B33" s="13"/>
      <c r="C33" s="8"/>
      <c r="D33" s="10" t="s">
        <v>59</v>
      </c>
      <c r="E33" s="13" t="s">
        <v>29</v>
      </c>
      <c r="F33" s="13" t="s">
        <v>35</v>
      </c>
      <c r="G33" s="11">
        <v>9800000</v>
      </c>
      <c r="H33" s="12">
        <v>4900000</v>
      </c>
      <c r="I33" s="24"/>
      <c r="J33" s="24"/>
      <c r="K33" s="24"/>
      <c r="L33" s="24"/>
      <c r="M33" s="24">
        <f t="shared" si="0"/>
        <v>4900000</v>
      </c>
      <c r="N33" s="63" t="s">
        <v>46</v>
      </c>
      <c r="O33" s="10"/>
    </row>
    <row r="34" spans="1:15" s="1" customFormat="1" ht="20.100000000000001" hidden="1" customHeight="1">
      <c r="A34" s="8">
        <v>29</v>
      </c>
      <c r="B34" s="25"/>
      <c r="C34" s="26"/>
      <c r="D34" s="27" t="s">
        <v>60</v>
      </c>
      <c r="E34" s="25" t="s">
        <v>23</v>
      </c>
      <c r="F34" s="25" t="s">
        <v>40</v>
      </c>
      <c r="G34" s="28">
        <v>9800000</v>
      </c>
      <c r="H34" s="12">
        <v>1000000</v>
      </c>
      <c r="I34" s="32"/>
      <c r="J34" s="32"/>
      <c r="K34" s="32"/>
      <c r="L34" s="32"/>
      <c r="M34" s="24">
        <f t="shared" si="0"/>
        <v>8800000</v>
      </c>
      <c r="N34" s="66" t="s">
        <v>46</v>
      </c>
      <c r="O34" s="27" t="s">
        <v>48</v>
      </c>
    </row>
    <row r="35" spans="1:15" s="1" customFormat="1" ht="20.100000000000001" hidden="1" customHeight="1">
      <c r="A35" s="8">
        <v>30</v>
      </c>
      <c r="B35" s="13"/>
      <c r="C35" s="8"/>
      <c r="D35" s="10" t="s">
        <v>61</v>
      </c>
      <c r="E35" s="13" t="s">
        <v>23</v>
      </c>
      <c r="F35" s="13" t="s">
        <v>40</v>
      </c>
      <c r="G35" s="11">
        <v>9800000</v>
      </c>
      <c r="H35" s="12">
        <v>4900000</v>
      </c>
      <c r="I35" s="24"/>
      <c r="J35" s="24"/>
      <c r="K35" s="24"/>
      <c r="L35" s="24"/>
      <c r="M35" s="24">
        <f t="shared" si="0"/>
        <v>4900000</v>
      </c>
      <c r="N35" s="24" t="s">
        <v>62</v>
      </c>
      <c r="O35" s="10"/>
    </row>
    <row r="36" spans="1:15" s="1" customFormat="1" ht="20.100000000000001" hidden="1" customHeight="1">
      <c r="A36" s="61">
        <v>31</v>
      </c>
      <c r="B36" s="13"/>
      <c r="C36" s="8"/>
      <c r="D36" s="18" t="s">
        <v>63</v>
      </c>
      <c r="E36" s="19" t="s">
        <v>23</v>
      </c>
      <c r="F36" s="19" t="s">
        <v>24</v>
      </c>
      <c r="G36" s="20">
        <v>9800000</v>
      </c>
      <c r="H36" s="21"/>
      <c r="I36" s="21"/>
      <c r="J36" s="21"/>
      <c r="K36" s="21"/>
      <c r="L36" s="21"/>
      <c r="M36" s="21">
        <f t="shared" si="0"/>
        <v>9800000</v>
      </c>
      <c r="N36" s="21" t="s">
        <v>62</v>
      </c>
      <c r="O36" s="18" t="s">
        <v>31</v>
      </c>
    </row>
    <row r="37" spans="1:15" s="1" customFormat="1" ht="20.100000000000001" hidden="1" customHeight="1">
      <c r="A37" s="8">
        <v>32</v>
      </c>
      <c r="B37" s="13"/>
      <c r="C37" s="8"/>
      <c r="D37" s="10" t="s">
        <v>64</v>
      </c>
      <c r="E37" s="13" t="s">
        <v>23</v>
      </c>
      <c r="F37" s="13" t="s">
        <v>24</v>
      </c>
      <c r="G37" s="11">
        <v>9800000</v>
      </c>
      <c r="H37" s="12">
        <v>2000000</v>
      </c>
      <c r="I37" s="24">
        <v>3000000</v>
      </c>
      <c r="J37" s="24"/>
      <c r="K37" s="24"/>
      <c r="L37" s="24"/>
      <c r="M37" s="24">
        <f t="shared" si="0"/>
        <v>4800000</v>
      </c>
      <c r="N37" s="24" t="s">
        <v>62</v>
      </c>
      <c r="O37" s="10"/>
    </row>
    <row r="38" spans="1:15" s="1" customFormat="1" ht="31.5" hidden="1" customHeight="1">
      <c r="A38" s="8">
        <v>33</v>
      </c>
      <c r="B38" s="13"/>
      <c r="C38" s="8"/>
      <c r="D38" s="10" t="s">
        <v>65</v>
      </c>
      <c r="E38" s="13" t="s">
        <v>23</v>
      </c>
      <c r="F38" s="13" t="s">
        <v>24</v>
      </c>
      <c r="G38" s="11">
        <v>9800000</v>
      </c>
      <c r="H38" s="12">
        <v>5000000</v>
      </c>
      <c r="I38" s="24"/>
      <c r="J38" s="24"/>
      <c r="K38" s="24"/>
      <c r="L38" s="24"/>
      <c r="M38" s="24">
        <f t="shared" si="0"/>
        <v>4800000</v>
      </c>
      <c r="N38" s="24" t="s">
        <v>62</v>
      </c>
      <c r="O38" s="10"/>
    </row>
    <row r="39" spans="1:15" s="1" customFormat="1" ht="31.5" hidden="1" customHeight="1">
      <c r="A39" s="8">
        <v>34</v>
      </c>
      <c r="B39" s="13"/>
      <c r="C39" s="8"/>
      <c r="D39" s="10" t="s">
        <v>66</v>
      </c>
      <c r="E39" s="13" t="s">
        <v>23</v>
      </c>
      <c r="F39" s="13" t="s">
        <v>24</v>
      </c>
      <c r="G39" s="11">
        <v>9800000</v>
      </c>
      <c r="H39" s="12">
        <v>4900000</v>
      </c>
      <c r="I39" s="24"/>
      <c r="J39" s="24"/>
      <c r="K39" s="24"/>
      <c r="L39" s="24"/>
      <c r="M39" s="24">
        <f t="shared" si="0"/>
        <v>4900000</v>
      </c>
      <c r="N39" s="24" t="s">
        <v>67</v>
      </c>
      <c r="O39" s="10"/>
    </row>
    <row r="40" spans="1:15" s="1" customFormat="1" ht="20.100000000000001" hidden="1" customHeight="1">
      <c r="A40" s="23">
        <v>35</v>
      </c>
      <c r="B40" s="22"/>
      <c r="C40" s="23"/>
      <c r="D40" s="34" t="s">
        <v>68</v>
      </c>
      <c r="E40" s="22" t="s">
        <v>23</v>
      </c>
      <c r="F40" s="22" t="s">
        <v>24</v>
      </c>
      <c r="G40" s="35"/>
      <c r="H40" s="62"/>
      <c r="I40" s="62"/>
      <c r="J40" s="62"/>
      <c r="K40" s="62"/>
      <c r="L40" s="62"/>
      <c r="M40" s="36">
        <f t="shared" si="0"/>
        <v>0</v>
      </c>
      <c r="N40" s="36" t="s">
        <v>67</v>
      </c>
      <c r="O40" s="34" t="s">
        <v>69</v>
      </c>
    </row>
    <row r="41" spans="1:15" s="1" customFormat="1" ht="20.100000000000001" hidden="1" customHeight="1">
      <c r="A41" s="8">
        <v>36</v>
      </c>
      <c r="B41" s="13"/>
      <c r="C41" s="8"/>
      <c r="D41" s="10" t="s">
        <v>70</v>
      </c>
      <c r="E41" s="13" t="s">
        <v>29</v>
      </c>
      <c r="F41" s="8" t="s">
        <v>20</v>
      </c>
      <c r="G41" s="11">
        <v>9800000</v>
      </c>
      <c r="H41" s="12">
        <v>4900000</v>
      </c>
      <c r="I41" s="24"/>
      <c r="J41" s="24"/>
      <c r="K41" s="24"/>
      <c r="L41" s="24"/>
      <c r="M41" s="24">
        <f t="shared" ref="M41:M59" si="1">G41-H41-I41-J41-K41-L41</f>
        <v>4900000</v>
      </c>
      <c r="N41" s="24" t="s">
        <v>67</v>
      </c>
      <c r="O41" s="10"/>
    </row>
    <row r="42" spans="1:15" s="1" customFormat="1" ht="20.100000000000001" hidden="1" customHeight="1">
      <c r="A42" s="8">
        <v>37</v>
      </c>
      <c r="B42" s="13"/>
      <c r="C42" s="8"/>
      <c r="D42" s="10" t="s">
        <v>71</v>
      </c>
      <c r="E42" s="13" t="s">
        <v>29</v>
      </c>
      <c r="F42" s="8" t="s">
        <v>20</v>
      </c>
      <c r="G42" s="11">
        <v>9800000</v>
      </c>
      <c r="H42" s="12">
        <v>4900000</v>
      </c>
      <c r="I42" s="24"/>
      <c r="J42" s="24"/>
      <c r="K42" s="24"/>
      <c r="L42" s="24"/>
      <c r="M42" s="24">
        <f t="shared" si="1"/>
        <v>4900000</v>
      </c>
      <c r="N42" s="24" t="s">
        <v>72</v>
      </c>
      <c r="O42" s="10"/>
    </row>
    <row r="43" spans="1:15" s="1" customFormat="1" ht="20.100000000000001" hidden="1" customHeight="1">
      <c r="A43" s="8">
        <v>38</v>
      </c>
      <c r="B43" s="13"/>
      <c r="C43" s="8"/>
      <c r="D43" s="10" t="s">
        <v>73</v>
      </c>
      <c r="E43" s="13" t="s">
        <v>29</v>
      </c>
      <c r="F43" s="8" t="s">
        <v>20</v>
      </c>
      <c r="G43" s="11">
        <v>9800000</v>
      </c>
      <c r="H43" s="12">
        <v>5000000</v>
      </c>
      <c r="I43" s="24"/>
      <c r="J43" s="24"/>
      <c r="K43" s="24"/>
      <c r="L43" s="24"/>
      <c r="M43" s="24">
        <f t="shared" si="1"/>
        <v>4800000</v>
      </c>
      <c r="N43" s="24" t="s">
        <v>72</v>
      </c>
      <c r="O43" s="10"/>
    </row>
    <row r="44" spans="1:15" s="1" customFormat="1" ht="20.100000000000001" hidden="1" customHeight="1">
      <c r="A44" s="8">
        <v>39</v>
      </c>
      <c r="B44" s="13"/>
      <c r="C44" s="8"/>
      <c r="D44" s="10" t="s">
        <v>74</v>
      </c>
      <c r="E44" s="13" t="s">
        <v>23</v>
      </c>
      <c r="F44" s="13" t="s">
        <v>40</v>
      </c>
      <c r="G44" s="11">
        <v>9800000</v>
      </c>
      <c r="H44" s="24">
        <v>3800000</v>
      </c>
      <c r="I44" s="24"/>
      <c r="J44" s="24"/>
      <c r="K44" s="24"/>
      <c r="L44" s="24"/>
      <c r="M44" s="24">
        <f t="shared" si="1"/>
        <v>6000000</v>
      </c>
      <c r="N44" s="24" t="s">
        <v>72</v>
      </c>
      <c r="O44" s="10"/>
    </row>
    <row r="45" spans="1:15" s="1" customFormat="1" ht="20.100000000000001" customHeight="1">
      <c r="A45" s="8">
        <v>40</v>
      </c>
      <c r="B45" s="13"/>
      <c r="C45" s="8"/>
      <c r="D45" s="10" t="s">
        <v>75</v>
      </c>
      <c r="E45" s="13" t="s">
        <v>29</v>
      </c>
      <c r="F45" s="13" t="s">
        <v>35</v>
      </c>
      <c r="G45" s="11">
        <v>9800000</v>
      </c>
      <c r="H45" s="12">
        <v>5000000</v>
      </c>
      <c r="I45" s="24"/>
      <c r="J45" s="24"/>
      <c r="K45" s="24"/>
      <c r="L45" s="24"/>
      <c r="M45" s="24">
        <f t="shared" si="1"/>
        <v>4800000</v>
      </c>
      <c r="N45" s="24" t="s">
        <v>72</v>
      </c>
      <c r="O45" s="10"/>
    </row>
    <row r="46" spans="1:15" s="1" customFormat="1" ht="20.100000000000001" hidden="1" customHeight="1">
      <c r="A46" s="8">
        <v>41</v>
      </c>
      <c r="B46" s="13"/>
      <c r="C46" s="8"/>
      <c r="D46" s="10" t="s">
        <v>76</v>
      </c>
      <c r="E46" s="13" t="s">
        <v>29</v>
      </c>
      <c r="F46" s="8" t="s">
        <v>20</v>
      </c>
      <c r="G46" s="11">
        <v>9800000</v>
      </c>
      <c r="H46" s="24">
        <v>5000000</v>
      </c>
      <c r="I46" s="24"/>
      <c r="J46" s="24"/>
      <c r="K46" s="24"/>
      <c r="L46" s="24"/>
      <c r="M46" s="24">
        <f t="shared" si="1"/>
        <v>4800000</v>
      </c>
      <c r="N46" s="24" t="s">
        <v>72</v>
      </c>
      <c r="O46" s="10"/>
    </row>
    <row r="47" spans="1:15" s="1" customFormat="1" ht="20.100000000000001" hidden="1" customHeight="1">
      <c r="A47" s="8">
        <v>42</v>
      </c>
      <c r="B47" s="13"/>
      <c r="C47" s="8"/>
      <c r="D47" s="10" t="s">
        <v>77</v>
      </c>
      <c r="E47" s="13" t="s">
        <v>29</v>
      </c>
      <c r="F47" s="8" t="s">
        <v>20</v>
      </c>
      <c r="G47" s="11">
        <v>9800000</v>
      </c>
      <c r="H47" s="12">
        <v>5000000</v>
      </c>
      <c r="I47" s="24"/>
      <c r="J47" s="24"/>
      <c r="K47" s="24"/>
      <c r="L47" s="24"/>
      <c r="M47" s="24">
        <f t="shared" si="1"/>
        <v>4800000</v>
      </c>
      <c r="N47" s="24" t="s">
        <v>78</v>
      </c>
      <c r="O47" s="10"/>
    </row>
    <row r="48" spans="1:15" s="1" customFormat="1" ht="20.100000000000001" hidden="1" customHeight="1">
      <c r="A48" s="8">
        <v>43</v>
      </c>
      <c r="B48" s="13"/>
      <c r="C48" s="8"/>
      <c r="D48" s="16" t="s">
        <v>79</v>
      </c>
      <c r="E48" s="14" t="s">
        <v>23</v>
      </c>
      <c r="F48" s="14" t="s">
        <v>24</v>
      </c>
      <c r="G48" s="17"/>
      <c r="H48" s="12"/>
      <c r="I48" s="12"/>
      <c r="J48" s="12"/>
      <c r="K48" s="12"/>
      <c r="L48" s="12"/>
      <c r="M48" s="24">
        <f t="shared" si="1"/>
        <v>0</v>
      </c>
      <c r="N48" s="12" t="s">
        <v>78</v>
      </c>
      <c r="O48" s="16" t="s">
        <v>27</v>
      </c>
    </row>
    <row r="49" spans="1:15" s="1" customFormat="1" ht="20.100000000000001" hidden="1" customHeight="1">
      <c r="A49" s="8">
        <v>44</v>
      </c>
      <c r="B49" s="13"/>
      <c r="C49" s="8"/>
      <c r="D49" s="16" t="s">
        <v>80</v>
      </c>
      <c r="E49" s="14" t="s">
        <v>23</v>
      </c>
      <c r="F49" s="14" t="s">
        <v>24</v>
      </c>
      <c r="G49" s="17"/>
      <c r="H49" s="12"/>
      <c r="I49" s="12"/>
      <c r="J49" s="12"/>
      <c r="K49" s="12"/>
      <c r="L49" s="12"/>
      <c r="M49" s="24">
        <f t="shared" si="1"/>
        <v>0</v>
      </c>
      <c r="N49" s="12" t="s">
        <v>78</v>
      </c>
      <c r="O49" s="16" t="s">
        <v>27</v>
      </c>
    </row>
    <row r="50" spans="1:15" s="1" customFormat="1" ht="20.100000000000001" hidden="1" customHeight="1">
      <c r="A50" s="8">
        <v>45</v>
      </c>
      <c r="B50" s="25"/>
      <c r="C50" s="26"/>
      <c r="D50" s="27" t="s">
        <v>81</v>
      </c>
      <c r="E50" s="25" t="s">
        <v>23</v>
      </c>
      <c r="F50" s="25" t="s">
        <v>40</v>
      </c>
      <c r="G50" s="28">
        <v>9800000</v>
      </c>
      <c r="H50" s="32"/>
      <c r="I50" s="32"/>
      <c r="J50" s="32"/>
      <c r="K50" s="32"/>
      <c r="L50" s="32"/>
      <c r="M50" s="24">
        <f t="shared" si="1"/>
        <v>9800000</v>
      </c>
      <c r="N50" s="32" t="s">
        <v>78</v>
      </c>
      <c r="O50" s="27" t="s">
        <v>48</v>
      </c>
    </row>
    <row r="51" spans="1:15" s="1" customFormat="1" ht="20.100000000000001" hidden="1" customHeight="1">
      <c r="A51" s="8">
        <v>46</v>
      </c>
      <c r="B51" s="14"/>
      <c r="C51" s="15"/>
      <c r="D51" s="16" t="s">
        <v>82</v>
      </c>
      <c r="E51" s="14" t="s">
        <v>23</v>
      </c>
      <c r="F51" s="14" t="s">
        <v>40</v>
      </c>
      <c r="G51" s="17"/>
      <c r="H51" s="12"/>
      <c r="I51" s="12"/>
      <c r="J51" s="12"/>
      <c r="K51" s="12"/>
      <c r="L51" s="12"/>
      <c r="M51" s="24">
        <f t="shared" si="1"/>
        <v>0</v>
      </c>
      <c r="N51" s="12" t="s">
        <v>78</v>
      </c>
      <c r="O51" s="16" t="s">
        <v>27</v>
      </c>
    </row>
    <row r="52" spans="1:15" s="1" customFormat="1" ht="20.100000000000001" hidden="1" customHeight="1">
      <c r="A52" s="8">
        <v>47</v>
      </c>
      <c r="B52" s="13"/>
      <c r="C52" s="8"/>
      <c r="D52" s="10" t="s">
        <v>83</v>
      </c>
      <c r="E52" s="13" t="s">
        <v>29</v>
      </c>
      <c r="F52" s="8" t="s">
        <v>20</v>
      </c>
      <c r="G52" s="11">
        <v>9800000</v>
      </c>
      <c r="H52" s="12">
        <v>5000000</v>
      </c>
      <c r="I52" s="24"/>
      <c r="J52" s="24"/>
      <c r="K52" s="24"/>
      <c r="L52" s="24"/>
      <c r="M52" s="24">
        <f t="shared" si="1"/>
        <v>4800000</v>
      </c>
      <c r="N52" s="24" t="s">
        <v>78</v>
      </c>
      <c r="O52" s="10"/>
    </row>
    <row r="53" spans="1:15" s="1" customFormat="1" ht="20.100000000000001" hidden="1" customHeight="1">
      <c r="A53" s="8">
        <v>48</v>
      </c>
      <c r="B53" s="13"/>
      <c r="C53" s="8"/>
      <c r="D53" s="10" t="s">
        <v>84</v>
      </c>
      <c r="E53" s="13" t="s">
        <v>23</v>
      </c>
      <c r="F53" s="13" t="s">
        <v>24</v>
      </c>
      <c r="G53" s="11">
        <v>9800000</v>
      </c>
      <c r="H53" s="12">
        <v>5000000</v>
      </c>
      <c r="I53" s="24"/>
      <c r="J53" s="24"/>
      <c r="K53" s="24"/>
      <c r="L53" s="24"/>
      <c r="M53" s="24">
        <f t="shared" si="1"/>
        <v>4800000</v>
      </c>
      <c r="N53" s="24" t="s">
        <v>78</v>
      </c>
      <c r="O53" s="10"/>
    </row>
    <row r="54" spans="1:15" s="1" customFormat="1" ht="20.100000000000001" hidden="1" customHeight="1">
      <c r="A54" s="8">
        <v>49</v>
      </c>
      <c r="B54" s="13"/>
      <c r="C54" s="8"/>
      <c r="D54" s="10" t="s">
        <v>85</v>
      </c>
      <c r="E54" s="13" t="s">
        <v>23</v>
      </c>
      <c r="F54" s="13" t="s">
        <v>24</v>
      </c>
      <c r="G54" s="11">
        <v>9800000</v>
      </c>
      <c r="H54" s="12">
        <v>5000000</v>
      </c>
      <c r="I54" s="24"/>
      <c r="J54" s="24"/>
      <c r="K54" s="24"/>
      <c r="L54" s="24"/>
      <c r="M54" s="24">
        <f t="shared" si="1"/>
        <v>4800000</v>
      </c>
      <c r="N54" s="24" t="s">
        <v>78</v>
      </c>
      <c r="O54" s="10"/>
    </row>
    <row r="55" spans="1:15" s="1" customFormat="1" ht="20.100000000000001" customHeight="1">
      <c r="A55" s="8">
        <v>50</v>
      </c>
      <c r="B55" s="13"/>
      <c r="C55" s="8"/>
      <c r="D55" s="10" t="s">
        <v>86</v>
      </c>
      <c r="E55" s="13" t="s">
        <v>29</v>
      </c>
      <c r="F55" s="13" t="s">
        <v>35</v>
      </c>
      <c r="G55" s="11">
        <v>9800000</v>
      </c>
      <c r="H55" s="24">
        <v>4900000</v>
      </c>
      <c r="I55" s="24"/>
      <c r="J55" s="24"/>
      <c r="K55" s="24"/>
      <c r="L55" s="24"/>
      <c r="M55" s="24">
        <f t="shared" si="1"/>
        <v>4900000</v>
      </c>
      <c r="N55" s="24" t="s">
        <v>87</v>
      </c>
      <c r="O55" s="10"/>
    </row>
    <row r="56" spans="1:15" s="1" customFormat="1" ht="20.100000000000001" hidden="1" customHeight="1">
      <c r="A56" s="8">
        <v>51</v>
      </c>
      <c r="B56" s="13"/>
      <c r="C56" s="8"/>
      <c r="D56" s="10" t="s">
        <v>88</v>
      </c>
      <c r="E56" s="13" t="s">
        <v>23</v>
      </c>
      <c r="F56" s="13" t="s">
        <v>24</v>
      </c>
      <c r="G56" s="11">
        <v>9800000</v>
      </c>
      <c r="H56" s="24">
        <v>5000000</v>
      </c>
      <c r="I56" s="24"/>
      <c r="J56" s="24"/>
      <c r="K56" s="24"/>
      <c r="L56" s="24"/>
      <c r="M56" s="24">
        <f t="shared" si="1"/>
        <v>4800000</v>
      </c>
      <c r="N56" s="24" t="s">
        <v>87</v>
      </c>
      <c r="O56" s="10"/>
    </row>
    <row r="57" spans="1:15" s="1" customFormat="1" ht="20.100000000000001" hidden="1" customHeight="1">
      <c r="A57" s="8">
        <v>52</v>
      </c>
      <c r="B57" s="13"/>
      <c r="C57" s="8"/>
      <c r="D57" s="10" t="s">
        <v>89</v>
      </c>
      <c r="E57" s="13" t="s">
        <v>29</v>
      </c>
      <c r="F57" s="13" t="s">
        <v>20</v>
      </c>
      <c r="G57" s="11">
        <v>9800000</v>
      </c>
      <c r="H57" s="24">
        <v>4900000</v>
      </c>
      <c r="I57" s="24"/>
      <c r="J57" s="24"/>
      <c r="K57" s="24"/>
      <c r="L57" s="24"/>
      <c r="M57" s="24">
        <f t="shared" si="1"/>
        <v>4900000</v>
      </c>
      <c r="N57" s="24" t="s">
        <v>90</v>
      </c>
      <c r="O57" s="10"/>
    </row>
    <row r="58" spans="1:15" s="1" customFormat="1" ht="20.100000000000001" hidden="1" customHeight="1">
      <c r="A58" s="8">
        <v>53</v>
      </c>
      <c r="B58" s="13"/>
      <c r="C58" s="8"/>
      <c r="D58" s="10" t="s">
        <v>91</v>
      </c>
      <c r="E58" s="13" t="s">
        <v>23</v>
      </c>
      <c r="F58" s="13" t="s">
        <v>24</v>
      </c>
      <c r="G58" s="11">
        <v>9800000</v>
      </c>
      <c r="H58" s="24">
        <v>5000000</v>
      </c>
      <c r="I58" s="24"/>
      <c r="J58" s="24"/>
      <c r="K58" s="24"/>
      <c r="L58" s="24"/>
      <c r="M58" s="24">
        <f t="shared" si="1"/>
        <v>4800000</v>
      </c>
      <c r="N58" s="24" t="s">
        <v>90</v>
      </c>
      <c r="O58" s="10"/>
    </row>
    <row r="59" spans="1:15" s="1" customFormat="1" ht="20.100000000000001" hidden="1" customHeight="1">
      <c r="A59" s="8">
        <v>54</v>
      </c>
      <c r="B59" s="13"/>
      <c r="C59" s="8"/>
      <c r="D59" s="10" t="s">
        <v>92</v>
      </c>
      <c r="E59" s="13" t="s">
        <v>29</v>
      </c>
      <c r="F59" s="13" t="s">
        <v>20</v>
      </c>
      <c r="G59" s="11">
        <v>9800000</v>
      </c>
      <c r="H59" s="24">
        <v>4500000</v>
      </c>
      <c r="I59" s="24"/>
      <c r="J59" s="24"/>
      <c r="K59" s="24"/>
      <c r="L59" s="24"/>
      <c r="M59" s="24">
        <f t="shared" si="1"/>
        <v>5300000</v>
      </c>
      <c r="N59" s="24" t="s">
        <v>90</v>
      </c>
      <c r="O59" s="10"/>
    </row>
    <row r="60" spans="1:15" s="1" customFormat="1" ht="20.100000000000001" hidden="1" customHeight="1">
      <c r="A60" s="8">
        <v>55</v>
      </c>
      <c r="B60" s="13"/>
      <c r="C60" s="8"/>
      <c r="D60" s="10" t="s">
        <v>93</v>
      </c>
      <c r="E60" s="13" t="s">
        <v>29</v>
      </c>
      <c r="F60" s="13" t="s">
        <v>20</v>
      </c>
      <c r="G60" s="11">
        <v>9800000</v>
      </c>
      <c r="H60" s="24">
        <v>5000000</v>
      </c>
      <c r="I60" s="24"/>
      <c r="J60" s="24"/>
      <c r="K60" s="24"/>
      <c r="L60" s="24"/>
      <c r="M60" s="24">
        <f t="shared" ref="M60:M69" si="2">G60-H60-I60-J60-K60-L60</f>
        <v>4800000</v>
      </c>
      <c r="N60" s="24" t="s">
        <v>90</v>
      </c>
      <c r="O60" s="10"/>
    </row>
    <row r="61" spans="1:15" s="1" customFormat="1" ht="20.100000000000001" customHeight="1">
      <c r="A61" s="8">
        <v>56</v>
      </c>
      <c r="B61" s="13"/>
      <c r="C61" s="8"/>
      <c r="D61" s="10" t="s">
        <v>94</v>
      </c>
      <c r="E61" s="13" t="s">
        <v>29</v>
      </c>
      <c r="F61" s="13" t="s">
        <v>35</v>
      </c>
      <c r="G61" s="11">
        <v>9800000</v>
      </c>
      <c r="H61" s="24">
        <v>4900000</v>
      </c>
      <c r="I61" s="24"/>
      <c r="J61" s="24"/>
      <c r="K61" s="24"/>
      <c r="L61" s="24"/>
      <c r="M61" s="24">
        <f t="shared" si="2"/>
        <v>4900000</v>
      </c>
      <c r="N61" s="24" t="s">
        <v>90</v>
      </c>
      <c r="O61" s="10"/>
    </row>
    <row r="62" spans="1:15" s="1" customFormat="1" ht="20.100000000000001" customHeight="1">
      <c r="A62" s="8">
        <v>57</v>
      </c>
      <c r="B62" s="13"/>
      <c r="C62" s="8"/>
      <c r="D62" s="10" t="s">
        <v>95</v>
      </c>
      <c r="E62" s="13" t="s">
        <v>29</v>
      </c>
      <c r="F62" s="13" t="s">
        <v>35</v>
      </c>
      <c r="G62" s="11">
        <v>9800000</v>
      </c>
      <c r="H62" s="24">
        <v>4900000</v>
      </c>
      <c r="I62" s="24"/>
      <c r="J62" s="24"/>
      <c r="K62" s="24"/>
      <c r="L62" s="24"/>
      <c r="M62" s="24">
        <f t="shared" si="2"/>
        <v>4900000</v>
      </c>
      <c r="N62" s="24" t="s">
        <v>90</v>
      </c>
      <c r="O62" s="10"/>
    </row>
    <row r="63" spans="1:15" s="1" customFormat="1" ht="20.100000000000001" customHeight="1">
      <c r="A63" s="8">
        <v>58</v>
      </c>
      <c r="B63" s="13"/>
      <c r="C63" s="8"/>
      <c r="D63" s="34" t="s">
        <v>96</v>
      </c>
      <c r="E63" s="22" t="s">
        <v>29</v>
      </c>
      <c r="F63" s="22" t="s">
        <v>35</v>
      </c>
      <c r="G63" s="35"/>
      <c r="H63" s="36"/>
      <c r="I63" s="36"/>
      <c r="J63" s="36"/>
      <c r="K63" s="36"/>
      <c r="L63" s="36"/>
      <c r="M63" s="36">
        <f t="shared" si="2"/>
        <v>0</v>
      </c>
      <c r="N63" s="36" t="s">
        <v>90</v>
      </c>
      <c r="O63" s="34"/>
    </row>
    <row r="64" spans="1:15" s="1" customFormat="1" ht="20.100000000000001" customHeight="1">
      <c r="A64" s="8">
        <v>59</v>
      </c>
      <c r="B64" s="22"/>
      <c r="C64" s="23"/>
      <c r="D64" s="34" t="s">
        <v>97</v>
      </c>
      <c r="E64" s="22" t="s">
        <v>29</v>
      </c>
      <c r="F64" s="22" t="s">
        <v>35</v>
      </c>
      <c r="G64" s="35"/>
      <c r="H64" s="36"/>
      <c r="I64" s="36"/>
      <c r="J64" s="36"/>
      <c r="K64" s="36"/>
      <c r="L64" s="36"/>
      <c r="M64" s="36">
        <f t="shared" si="2"/>
        <v>0</v>
      </c>
      <c r="N64" s="36" t="s">
        <v>90</v>
      </c>
      <c r="O64" s="34"/>
    </row>
    <row r="65" spans="1:15" s="1" customFormat="1" ht="20.100000000000001" hidden="1" customHeight="1">
      <c r="A65" s="8">
        <v>60</v>
      </c>
      <c r="B65" s="13"/>
      <c r="C65" s="8"/>
      <c r="D65" s="10" t="s">
        <v>98</v>
      </c>
      <c r="E65" s="13" t="s">
        <v>29</v>
      </c>
      <c r="F65" s="13" t="s">
        <v>20</v>
      </c>
      <c r="G65" s="11">
        <v>9800000</v>
      </c>
      <c r="H65" s="24">
        <v>4900000</v>
      </c>
      <c r="I65" s="24"/>
      <c r="J65" s="24"/>
      <c r="K65" s="24"/>
      <c r="L65" s="24"/>
      <c r="M65" s="24">
        <f t="shared" si="2"/>
        <v>4900000</v>
      </c>
      <c r="N65" s="24" t="s">
        <v>90</v>
      </c>
      <c r="O65" s="10"/>
    </row>
    <row r="66" spans="1:15" s="1" customFormat="1" ht="20.100000000000001" hidden="1" customHeight="1">
      <c r="A66" s="8">
        <v>61</v>
      </c>
      <c r="B66" s="13"/>
      <c r="C66" s="8"/>
      <c r="D66" s="10" t="s">
        <v>99</v>
      </c>
      <c r="E66" s="13" t="s">
        <v>29</v>
      </c>
      <c r="F66" s="13" t="s">
        <v>20</v>
      </c>
      <c r="G66" s="11">
        <v>9800000</v>
      </c>
      <c r="H66" s="24">
        <v>5000000</v>
      </c>
      <c r="I66" s="24"/>
      <c r="J66" s="24"/>
      <c r="K66" s="24"/>
      <c r="L66" s="24"/>
      <c r="M66" s="24">
        <f t="shared" si="2"/>
        <v>4800000</v>
      </c>
      <c r="N66" s="24" t="s">
        <v>90</v>
      </c>
      <c r="O66" s="10"/>
    </row>
    <row r="67" spans="1:15" s="1" customFormat="1" ht="20.100000000000001" hidden="1" customHeight="1">
      <c r="A67" s="8">
        <v>62</v>
      </c>
      <c r="B67" s="13"/>
      <c r="C67" s="8"/>
      <c r="D67" s="10" t="s">
        <v>100</v>
      </c>
      <c r="E67" s="13" t="s">
        <v>29</v>
      </c>
      <c r="F67" s="13" t="s">
        <v>20</v>
      </c>
      <c r="G67" s="11">
        <v>9800000</v>
      </c>
      <c r="H67" s="24">
        <v>5000000</v>
      </c>
      <c r="I67" s="24"/>
      <c r="J67" s="24"/>
      <c r="K67" s="24"/>
      <c r="L67" s="24"/>
      <c r="M67" s="24">
        <f t="shared" si="2"/>
        <v>4800000</v>
      </c>
      <c r="N67" s="24" t="s">
        <v>90</v>
      </c>
      <c r="O67" s="10"/>
    </row>
    <row r="68" spans="1:15" s="1" customFormat="1" ht="20.100000000000001" hidden="1" customHeight="1">
      <c r="A68" s="8">
        <v>63</v>
      </c>
      <c r="B68" s="13"/>
      <c r="C68" s="8"/>
      <c r="D68" s="10" t="s">
        <v>101</v>
      </c>
      <c r="E68" s="13" t="s">
        <v>29</v>
      </c>
      <c r="F68" s="13" t="s">
        <v>20</v>
      </c>
      <c r="G68" s="11">
        <v>9800000</v>
      </c>
      <c r="H68" s="24">
        <v>9800000</v>
      </c>
      <c r="I68" s="24"/>
      <c r="J68" s="24"/>
      <c r="K68" s="24"/>
      <c r="L68" s="24"/>
      <c r="M68" s="24">
        <f t="shared" si="2"/>
        <v>0</v>
      </c>
      <c r="N68" s="33">
        <v>45972</v>
      </c>
      <c r="O68" s="10" t="s">
        <v>38</v>
      </c>
    </row>
    <row r="69" spans="1:15" s="1" customFormat="1" ht="20.100000000000001" hidden="1" customHeight="1">
      <c r="A69" s="8">
        <v>64</v>
      </c>
      <c r="B69" s="13"/>
      <c r="C69" s="8"/>
      <c r="D69" s="34" t="s">
        <v>102</v>
      </c>
      <c r="E69" s="22" t="s">
        <v>29</v>
      </c>
      <c r="F69" s="22" t="s">
        <v>20</v>
      </c>
      <c r="G69" s="35"/>
      <c r="H69" s="36"/>
      <c r="I69" s="36"/>
      <c r="J69" s="36"/>
      <c r="K69" s="36"/>
      <c r="L69" s="36"/>
      <c r="M69" s="36">
        <f t="shared" si="2"/>
        <v>0</v>
      </c>
      <c r="N69" s="53">
        <v>45972</v>
      </c>
      <c r="O69" s="34"/>
    </row>
    <row r="70" spans="1:15" s="1" customFormat="1" ht="20.100000000000001" hidden="1" customHeight="1">
      <c r="A70" s="8">
        <v>65</v>
      </c>
      <c r="B70" s="13"/>
      <c r="C70" s="8"/>
      <c r="D70" s="10" t="s">
        <v>103</v>
      </c>
      <c r="E70" s="13" t="s">
        <v>23</v>
      </c>
      <c r="F70" s="13" t="s">
        <v>24</v>
      </c>
      <c r="G70" s="11">
        <v>9800000</v>
      </c>
      <c r="H70" s="24">
        <v>5000000</v>
      </c>
      <c r="I70" s="24"/>
      <c r="J70" s="24"/>
      <c r="K70" s="24"/>
      <c r="L70" s="24"/>
      <c r="M70" s="24">
        <f t="shared" ref="M70:M79" si="3">G70-H70-I70-J70-K70-L70</f>
        <v>4800000</v>
      </c>
      <c r="N70" s="33">
        <v>45972</v>
      </c>
      <c r="O70" s="10"/>
    </row>
    <row r="71" spans="1:15" s="1" customFormat="1" ht="31.5" hidden="1">
      <c r="A71" s="8">
        <v>66</v>
      </c>
      <c r="B71" s="13"/>
      <c r="C71" s="8"/>
      <c r="D71" s="10" t="s">
        <v>104</v>
      </c>
      <c r="E71" s="13" t="s">
        <v>23</v>
      </c>
      <c r="F71" s="13" t="s">
        <v>24</v>
      </c>
      <c r="G71" s="11">
        <v>9800000</v>
      </c>
      <c r="H71" s="24"/>
      <c r="I71" s="24"/>
      <c r="J71" s="24"/>
      <c r="K71" s="24"/>
      <c r="L71" s="24"/>
      <c r="M71" s="24">
        <f t="shared" si="3"/>
        <v>9800000</v>
      </c>
      <c r="N71" s="33">
        <v>45972</v>
      </c>
      <c r="O71" s="10" t="s">
        <v>105</v>
      </c>
    </row>
    <row r="72" spans="1:15" s="1" customFormat="1" ht="31.5" hidden="1">
      <c r="A72" s="8">
        <v>67</v>
      </c>
      <c r="B72" s="13"/>
      <c r="C72" s="8"/>
      <c r="D72" s="10" t="s">
        <v>106</v>
      </c>
      <c r="E72" s="13" t="s">
        <v>23</v>
      </c>
      <c r="F72" s="13" t="s">
        <v>24</v>
      </c>
      <c r="G72" s="11">
        <v>9800000</v>
      </c>
      <c r="H72" s="24"/>
      <c r="I72" s="24"/>
      <c r="J72" s="24"/>
      <c r="K72" s="24"/>
      <c r="L72" s="24"/>
      <c r="M72" s="24">
        <f t="shared" si="3"/>
        <v>9800000</v>
      </c>
      <c r="N72" s="33">
        <v>45972</v>
      </c>
      <c r="O72" s="10" t="s">
        <v>105</v>
      </c>
    </row>
    <row r="73" spans="1:15" s="1" customFormat="1" ht="20.100000000000001" customHeight="1">
      <c r="A73" s="8">
        <v>68</v>
      </c>
      <c r="B73" s="13"/>
      <c r="C73" s="8"/>
      <c r="D73" s="10" t="s">
        <v>107</v>
      </c>
      <c r="E73" s="13" t="s">
        <v>29</v>
      </c>
      <c r="F73" s="13" t="s">
        <v>35</v>
      </c>
      <c r="G73" s="11">
        <v>9800000</v>
      </c>
      <c r="H73" s="24">
        <v>3000000</v>
      </c>
      <c r="I73" s="24"/>
      <c r="J73" s="24"/>
      <c r="K73" s="24"/>
      <c r="L73" s="24"/>
      <c r="M73" s="24">
        <f t="shared" si="3"/>
        <v>6800000</v>
      </c>
      <c r="N73" s="33">
        <v>45972</v>
      </c>
      <c r="O73" s="10"/>
    </row>
    <row r="74" spans="1:15" s="1" customFormat="1" ht="20.100000000000001" customHeight="1">
      <c r="A74" s="8">
        <v>69</v>
      </c>
      <c r="B74" s="13"/>
      <c r="C74" s="8"/>
      <c r="D74" s="10" t="s">
        <v>108</v>
      </c>
      <c r="E74" s="13" t="s">
        <v>29</v>
      </c>
      <c r="F74" s="13" t="s">
        <v>35</v>
      </c>
      <c r="G74" s="11">
        <v>9800000</v>
      </c>
      <c r="H74" s="24">
        <v>5000000</v>
      </c>
      <c r="I74" s="24"/>
      <c r="J74" s="24"/>
      <c r="K74" s="24"/>
      <c r="L74" s="24"/>
      <c r="M74" s="24">
        <f t="shared" si="3"/>
        <v>4800000</v>
      </c>
      <c r="N74" s="33">
        <v>45972</v>
      </c>
      <c r="O74" s="10"/>
    </row>
    <row r="75" spans="1:15" s="1" customFormat="1" ht="31.5">
      <c r="A75" s="8">
        <v>70</v>
      </c>
      <c r="B75" s="13"/>
      <c r="C75" s="8"/>
      <c r="D75" s="10" t="s">
        <v>109</v>
      </c>
      <c r="E75" s="13" t="s">
        <v>29</v>
      </c>
      <c r="F75" s="13" t="s">
        <v>35</v>
      </c>
      <c r="G75" s="11">
        <v>9800000</v>
      </c>
      <c r="H75" s="24"/>
      <c r="I75" s="24"/>
      <c r="J75" s="24"/>
      <c r="K75" s="24"/>
      <c r="L75" s="24"/>
      <c r="M75" s="24">
        <f t="shared" si="3"/>
        <v>9800000</v>
      </c>
      <c r="N75" s="33">
        <v>45972</v>
      </c>
      <c r="O75" s="10" t="s">
        <v>110</v>
      </c>
    </row>
    <row r="76" spans="1:15" s="1" customFormat="1" ht="20.100000000000001" hidden="1" customHeight="1">
      <c r="A76" s="61">
        <v>71</v>
      </c>
      <c r="B76" s="13"/>
      <c r="C76" s="8"/>
      <c r="D76" s="18" t="s">
        <v>111</v>
      </c>
      <c r="E76" s="19" t="s">
        <v>29</v>
      </c>
      <c r="F76" s="19" t="s">
        <v>20</v>
      </c>
      <c r="G76" s="20">
        <v>9800000</v>
      </c>
      <c r="H76" s="21"/>
      <c r="I76" s="21"/>
      <c r="J76" s="21"/>
      <c r="K76" s="21"/>
      <c r="L76" s="21"/>
      <c r="M76" s="21">
        <f t="shared" si="3"/>
        <v>9800000</v>
      </c>
      <c r="N76" s="54">
        <v>45974</v>
      </c>
      <c r="O76" s="18" t="s">
        <v>31</v>
      </c>
    </row>
    <row r="77" spans="1:15" s="1" customFormat="1" ht="20.100000000000001" hidden="1" customHeight="1">
      <c r="A77" s="8">
        <v>72</v>
      </c>
      <c r="B77" s="13"/>
      <c r="C77" s="8"/>
      <c r="D77" s="10" t="s">
        <v>112</v>
      </c>
      <c r="E77" s="13" t="s">
        <v>29</v>
      </c>
      <c r="F77" s="13" t="s">
        <v>20</v>
      </c>
      <c r="G77" s="11">
        <v>9800000</v>
      </c>
      <c r="H77" s="24">
        <v>3000000</v>
      </c>
      <c r="I77" s="24"/>
      <c r="J77" s="24"/>
      <c r="K77" s="24"/>
      <c r="L77" s="24"/>
      <c r="M77" s="24">
        <f t="shared" si="3"/>
        <v>6800000</v>
      </c>
      <c r="N77" s="33">
        <v>45974</v>
      </c>
      <c r="O77" s="10"/>
    </row>
    <row r="78" spans="1:15" s="1" customFormat="1" ht="20.100000000000001" customHeight="1">
      <c r="A78" s="61">
        <v>73</v>
      </c>
      <c r="B78" s="13"/>
      <c r="C78" s="8"/>
      <c r="D78" s="18" t="s">
        <v>113</v>
      </c>
      <c r="E78" s="19" t="s">
        <v>29</v>
      </c>
      <c r="F78" s="19" t="s">
        <v>35</v>
      </c>
      <c r="G78" s="20">
        <v>9800000</v>
      </c>
      <c r="H78" s="21"/>
      <c r="I78" s="21"/>
      <c r="J78" s="21"/>
      <c r="K78" s="21"/>
      <c r="L78" s="21"/>
      <c r="M78" s="21">
        <f t="shared" si="3"/>
        <v>9800000</v>
      </c>
      <c r="N78" s="54">
        <v>45974</v>
      </c>
      <c r="O78" s="18" t="s">
        <v>31</v>
      </c>
    </row>
    <row r="79" spans="1:15" s="1" customFormat="1" ht="31.5">
      <c r="A79" s="8">
        <v>74</v>
      </c>
      <c r="B79" s="13"/>
      <c r="C79" s="8"/>
      <c r="D79" s="10" t="s">
        <v>114</v>
      </c>
      <c r="E79" s="13" t="s">
        <v>29</v>
      </c>
      <c r="F79" s="13" t="s">
        <v>35</v>
      </c>
      <c r="G79" s="11">
        <v>9800000</v>
      </c>
      <c r="H79" s="24"/>
      <c r="I79" s="24"/>
      <c r="J79" s="24"/>
      <c r="K79" s="24"/>
      <c r="L79" s="24"/>
      <c r="M79" s="24">
        <f t="shared" si="3"/>
        <v>9800000</v>
      </c>
      <c r="N79" s="33">
        <v>45974</v>
      </c>
      <c r="O79" s="10" t="s">
        <v>110</v>
      </c>
    </row>
    <row r="80" spans="1:15" s="1" customFormat="1" ht="31.5" hidden="1">
      <c r="A80" s="8">
        <v>75</v>
      </c>
      <c r="B80" s="13"/>
      <c r="C80" s="8"/>
      <c r="D80" s="10" t="s">
        <v>115</v>
      </c>
      <c r="E80" s="13" t="s">
        <v>23</v>
      </c>
      <c r="F80" s="13" t="s">
        <v>24</v>
      </c>
      <c r="G80" s="11">
        <v>9800000</v>
      </c>
      <c r="H80" s="24"/>
      <c r="I80" s="24"/>
      <c r="J80" s="24"/>
      <c r="K80" s="24"/>
      <c r="L80" s="24"/>
      <c r="M80" s="24">
        <f>G80-H80-I80-J80</f>
        <v>9800000</v>
      </c>
      <c r="N80" s="33">
        <v>45974</v>
      </c>
      <c r="O80" s="10" t="s">
        <v>110</v>
      </c>
    </row>
    <row r="81" spans="1:15" s="1" customFormat="1" hidden="1">
      <c r="A81" s="8">
        <v>76</v>
      </c>
      <c r="B81" s="13"/>
      <c r="C81" s="8"/>
      <c r="D81" s="10" t="s">
        <v>116</v>
      </c>
      <c r="E81" s="13" t="s">
        <v>23</v>
      </c>
      <c r="F81" s="13" t="s">
        <v>24</v>
      </c>
      <c r="G81" s="11">
        <v>9800000</v>
      </c>
      <c r="H81" s="24">
        <v>4500000</v>
      </c>
      <c r="I81" s="24"/>
      <c r="J81" s="24"/>
      <c r="K81" s="24"/>
      <c r="L81" s="24"/>
      <c r="M81" s="24">
        <f>G81-H81-I81-J81</f>
        <v>5300000</v>
      </c>
      <c r="N81" s="33">
        <v>45974</v>
      </c>
      <c r="O81" s="10"/>
    </row>
    <row r="82" spans="1:15" s="1" customFormat="1" ht="31.5" hidden="1">
      <c r="A82" s="8">
        <v>77</v>
      </c>
      <c r="B82" s="13"/>
      <c r="C82" s="8"/>
      <c r="D82" s="10" t="s">
        <v>117</v>
      </c>
      <c r="E82" s="13" t="s">
        <v>23</v>
      </c>
      <c r="F82" s="13" t="s">
        <v>40</v>
      </c>
      <c r="G82" s="11">
        <v>9800000</v>
      </c>
      <c r="H82" s="24"/>
      <c r="I82" s="24"/>
      <c r="J82" s="24"/>
      <c r="K82" s="24"/>
      <c r="L82" s="24"/>
      <c r="M82" s="24">
        <f>G82-H82-I82-J82</f>
        <v>9800000</v>
      </c>
      <c r="N82" s="33">
        <v>45974</v>
      </c>
      <c r="O82" s="10" t="s">
        <v>110</v>
      </c>
    </row>
    <row r="83" spans="1:15" s="1" customFormat="1" ht="31.5" hidden="1">
      <c r="A83" s="8">
        <v>78</v>
      </c>
      <c r="B83" s="13"/>
      <c r="C83" s="8"/>
      <c r="D83" s="10" t="s">
        <v>118</v>
      </c>
      <c r="E83" s="13" t="s">
        <v>29</v>
      </c>
      <c r="F83" s="13" t="s">
        <v>20</v>
      </c>
      <c r="G83" s="11">
        <v>9800000</v>
      </c>
      <c r="H83" s="24"/>
      <c r="I83" s="24"/>
      <c r="J83" s="24"/>
      <c r="K83" s="24"/>
      <c r="L83" s="24"/>
      <c r="M83" s="24">
        <f t="shared" ref="M83:M94" si="4">G83-H83-I83-J83</f>
        <v>9800000</v>
      </c>
      <c r="N83" s="33">
        <v>45974</v>
      </c>
      <c r="O83" s="10" t="s">
        <v>110</v>
      </c>
    </row>
    <row r="84" spans="1:15" s="1" customFormat="1" ht="20.100000000000001" hidden="1" customHeight="1">
      <c r="A84" s="8">
        <v>79</v>
      </c>
      <c r="B84" s="13"/>
      <c r="C84" s="8"/>
      <c r="D84" s="10" t="s">
        <v>119</v>
      </c>
      <c r="E84" s="13" t="s">
        <v>29</v>
      </c>
      <c r="F84" s="13" t="s">
        <v>20</v>
      </c>
      <c r="G84" s="11">
        <v>9800000</v>
      </c>
      <c r="H84" s="24">
        <v>4900000</v>
      </c>
      <c r="I84" s="24"/>
      <c r="J84" s="24"/>
      <c r="K84" s="24"/>
      <c r="L84" s="24"/>
      <c r="M84" s="24">
        <f t="shared" si="4"/>
        <v>4900000</v>
      </c>
      <c r="N84" s="33">
        <v>45974</v>
      </c>
      <c r="O84" s="10"/>
    </row>
    <row r="85" spans="1:15" s="1" customFormat="1" ht="20.100000000000001" hidden="1" customHeight="1">
      <c r="A85" s="8">
        <v>80</v>
      </c>
      <c r="B85" s="13"/>
      <c r="C85" s="8"/>
      <c r="D85" s="10" t="s">
        <v>120</v>
      </c>
      <c r="E85" s="13" t="s">
        <v>23</v>
      </c>
      <c r="F85" s="13" t="s">
        <v>40</v>
      </c>
      <c r="G85" s="11">
        <v>9800000</v>
      </c>
      <c r="H85" s="24">
        <v>5000000</v>
      </c>
      <c r="I85" s="24"/>
      <c r="J85" s="24"/>
      <c r="K85" s="24"/>
      <c r="L85" s="24"/>
      <c r="M85" s="24">
        <f t="shared" si="4"/>
        <v>4800000</v>
      </c>
      <c r="N85" s="33">
        <v>45974</v>
      </c>
      <c r="O85" s="10"/>
    </row>
    <row r="86" spans="1:15" s="1" customFormat="1" ht="20.100000000000001" hidden="1" customHeight="1">
      <c r="A86" s="8">
        <v>82</v>
      </c>
      <c r="B86" s="13"/>
      <c r="C86" s="8"/>
      <c r="D86" s="10" t="s">
        <v>121</v>
      </c>
      <c r="E86" s="13" t="s">
        <v>23</v>
      </c>
      <c r="F86" s="13" t="s">
        <v>40</v>
      </c>
      <c r="G86" s="11">
        <v>9800000</v>
      </c>
      <c r="H86" s="24"/>
      <c r="I86" s="24"/>
      <c r="J86" s="24"/>
      <c r="K86" s="24"/>
      <c r="L86" s="24"/>
      <c r="M86" s="24">
        <f t="shared" si="4"/>
        <v>9800000</v>
      </c>
      <c r="N86" s="33">
        <v>45978</v>
      </c>
      <c r="O86" s="10"/>
    </row>
    <row r="87" spans="1:15" s="1" customFormat="1" ht="20.100000000000001" hidden="1" customHeight="1">
      <c r="A87" s="8">
        <v>81</v>
      </c>
      <c r="B87" s="13"/>
      <c r="C87" s="8"/>
      <c r="D87" s="10" t="s">
        <v>122</v>
      </c>
      <c r="E87" s="13" t="s">
        <v>23</v>
      </c>
      <c r="F87" s="13" t="s">
        <v>40</v>
      </c>
      <c r="G87" s="11">
        <v>9800000</v>
      </c>
      <c r="H87" s="24"/>
      <c r="I87" s="24"/>
      <c r="J87" s="24"/>
      <c r="K87" s="24"/>
      <c r="L87" s="24"/>
      <c r="M87" s="24">
        <f t="shared" si="4"/>
        <v>9800000</v>
      </c>
      <c r="N87" s="33">
        <v>45978</v>
      </c>
      <c r="O87" s="10"/>
    </row>
    <row r="88" spans="1:15" s="1" customFormat="1" ht="20.100000000000001" hidden="1" customHeight="1">
      <c r="A88" s="61">
        <v>83</v>
      </c>
      <c r="B88" s="13"/>
      <c r="C88" s="8"/>
      <c r="D88" s="18" t="s">
        <v>123</v>
      </c>
      <c r="E88" s="19" t="s">
        <v>29</v>
      </c>
      <c r="F88" s="19" t="s">
        <v>20</v>
      </c>
      <c r="G88" s="20">
        <v>9800000</v>
      </c>
      <c r="H88" s="21"/>
      <c r="I88" s="21"/>
      <c r="J88" s="21"/>
      <c r="K88" s="21"/>
      <c r="L88" s="21"/>
      <c r="M88" s="21">
        <f t="shared" si="4"/>
        <v>9800000</v>
      </c>
      <c r="N88" s="54">
        <v>45978</v>
      </c>
      <c r="O88" s="18" t="s">
        <v>31</v>
      </c>
    </row>
    <row r="89" spans="1:15" s="1" customFormat="1" ht="20.100000000000001" hidden="1" customHeight="1">
      <c r="A89" s="8">
        <v>84</v>
      </c>
      <c r="B89" s="13"/>
      <c r="C89" s="8"/>
      <c r="D89" s="10" t="s">
        <v>124</v>
      </c>
      <c r="E89" s="13" t="s">
        <v>29</v>
      </c>
      <c r="F89" s="13" t="s">
        <v>20</v>
      </c>
      <c r="G89" s="11">
        <v>9800000</v>
      </c>
      <c r="H89" s="24"/>
      <c r="I89" s="24"/>
      <c r="J89" s="24"/>
      <c r="K89" s="24"/>
      <c r="L89" s="24"/>
      <c r="M89" s="24">
        <f t="shared" si="4"/>
        <v>9800000</v>
      </c>
      <c r="N89" s="33">
        <v>45978</v>
      </c>
      <c r="O89" s="10"/>
    </row>
    <row r="90" spans="1:15" s="1" customFormat="1" ht="20.100000000000001" hidden="1" customHeight="1">
      <c r="A90" s="23">
        <v>85</v>
      </c>
      <c r="B90" s="13"/>
      <c r="C90" s="8"/>
      <c r="D90" s="34" t="s">
        <v>125</v>
      </c>
      <c r="E90" s="22" t="s">
        <v>29</v>
      </c>
      <c r="F90" s="22" t="s">
        <v>20</v>
      </c>
      <c r="G90" s="35"/>
      <c r="H90" s="36"/>
      <c r="I90" s="36"/>
      <c r="J90" s="36"/>
      <c r="K90" s="36"/>
      <c r="L90" s="36"/>
      <c r="M90" s="36">
        <f t="shared" si="4"/>
        <v>0</v>
      </c>
      <c r="N90" s="53">
        <v>45978</v>
      </c>
      <c r="O90" s="34" t="s">
        <v>126</v>
      </c>
    </row>
    <row r="91" spans="1:15" s="1" customFormat="1" ht="20.100000000000001" hidden="1" customHeight="1">
      <c r="A91" s="8">
        <v>86</v>
      </c>
      <c r="B91" s="13"/>
      <c r="C91" s="8"/>
      <c r="D91" s="10" t="s">
        <v>127</v>
      </c>
      <c r="E91" s="13" t="s">
        <v>29</v>
      </c>
      <c r="F91" s="13" t="s">
        <v>20</v>
      </c>
      <c r="G91" s="11">
        <v>9800000</v>
      </c>
      <c r="H91" s="24"/>
      <c r="I91" s="24"/>
      <c r="J91" s="24"/>
      <c r="K91" s="24"/>
      <c r="L91" s="24"/>
      <c r="M91" s="24">
        <f t="shared" si="4"/>
        <v>9800000</v>
      </c>
      <c r="N91" s="33">
        <v>45978</v>
      </c>
      <c r="O91" s="10"/>
    </row>
    <row r="92" spans="1:15" s="1" customFormat="1" ht="20.100000000000001" customHeight="1">
      <c r="A92" s="23">
        <v>87</v>
      </c>
      <c r="B92" s="22"/>
      <c r="C92" s="23"/>
      <c r="D92" s="34" t="s">
        <v>128</v>
      </c>
      <c r="E92" s="22" t="s">
        <v>19</v>
      </c>
      <c r="F92" s="22" t="s">
        <v>35</v>
      </c>
      <c r="G92" s="35">
        <v>9800000</v>
      </c>
      <c r="H92" s="36"/>
      <c r="I92" s="36"/>
      <c r="J92" s="36"/>
      <c r="K92" s="36"/>
      <c r="L92" s="36"/>
      <c r="M92" s="36">
        <f t="shared" si="4"/>
        <v>9800000</v>
      </c>
      <c r="N92" s="53">
        <v>45978</v>
      </c>
      <c r="O92" s="34" t="s">
        <v>126</v>
      </c>
    </row>
    <row r="93" spans="1:15" s="1" customFormat="1" ht="20.100000000000001" hidden="1" customHeight="1">
      <c r="A93" s="8">
        <v>88</v>
      </c>
      <c r="B93" s="13"/>
      <c r="C93" s="8"/>
      <c r="D93" s="10" t="s">
        <v>129</v>
      </c>
      <c r="E93" s="13" t="s">
        <v>23</v>
      </c>
      <c r="F93" s="13" t="s">
        <v>24</v>
      </c>
      <c r="G93" s="11">
        <v>9800000</v>
      </c>
      <c r="H93" s="24"/>
      <c r="I93" s="24"/>
      <c r="J93" s="24"/>
      <c r="K93" s="24"/>
      <c r="L93" s="24"/>
      <c r="M93" s="24">
        <f t="shared" si="4"/>
        <v>9800000</v>
      </c>
      <c r="N93" s="33">
        <v>45978</v>
      </c>
      <c r="O93" s="10"/>
    </row>
    <row r="94" spans="1:15" s="1" customFormat="1" ht="20.100000000000001" hidden="1" customHeight="1">
      <c r="A94" s="8">
        <v>89</v>
      </c>
      <c r="B94" s="13"/>
      <c r="C94" s="8"/>
      <c r="D94" s="10" t="s">
        <v>130</v>
      </c>
      <c r="E94" s="13" t="s">
        <v>19</v>
      </c>
      <c r="F94" s="13" t="s">
        <v>20</v>
      </c>
      <c r="G94" s="11">
        <v>9800000</v>
      </c>
      <c r="H94" s="24"/>
      <c r="I94" s="24"/>
      <c r="J94" s="24"/>
      <c r="K94" s="24"/>
      <c r="L94" s="24"/>
      <c r="M94" s="24">
        <f t="shared" si="4"/>
        <v>9800000</v>
      </c>
      <c r="N94" s="33">
        <v>45980</v>
      </c>
      <c r="O94" s="10"/>
    </row>
    <row r="95" spans="1:15" s="1" customFormat="1" ht="20.100000000000001" hidden="1" customHeight="1">
      <c r="A95" s="8">
        <v>90</v>
      </c>
      <c r="B95" s="13"/>
      <c r="C95" s="8"/>
      <c r="D95" s="10" t="s">
        <v>131</v>
      </c>
      <c r="E95" s="13" t="s">
        <v>19</v>
      </c>
      <c r="F95" s="13" t="s">
        <v>20</v>
      </c>
      <c r="G95" s="11">
        <v>9800000</v>
      </c>
      <c r="H95" s="24"/>
      <c r="I95" s="24"/>
      <c r="J95" s="24"/>
      <c r="K95" s="24"/>
      <c r="L95" s="24"/>
      <c r="M95" s="24">
        <f t="shared" ref="M95:M132" si="5">G95-H95-I95-J95</f>
        <v>9800000</v>
      </c>
      <c r="N95" s="33">
        <v>45980</v>
      </c>
      <c r="O95" s="10"/>
    </row>
    <row r="96" spans="1:15" s="1" customFormat="1" ht="20.100000000000001" hidden="1" customHeight="1">
      <c r="A96" s="23">
        <v>91</v>
      </c>
      <c r="B96" s="22"/>
      <c r="C96" s="23"/>
      <c r="D96" s="34" t="s">
        <v>132</v>
      </c>
      <c r="E96" s="22" t="s">
        <v>19</v>
      </c>
      <c r="F96" s="22" t="s">
        <v>20</v>
      </c>
      <c r="G96" s="35">
        <v>9800000</v>
      </c>
      <c r="H96" s="36"/>
      <c r="I96" s="36"/>
      <c r="J96" s="36"/>
      <c r="K96" s="36"/>
      <c r="L96" s="36"/>
      <c r="M96" s="36">
        <f t="shared" si="5"/>
        <v>9800000</v>
      </c>
      <c r="N96" s="53">
        <v>45980</v>
      </c>
      <c r="O96" s="34" t="s">
        <v>126</v>
      </c>
    </row>
    <row r="97" spans="1:15" s="1" customFormat="1" ht="20.100000000000001" hidden="1" customHeight="1">
      <c r="A97" s="8">
        <v>92</v>
      </c>
      <c r="B97" s="13"/>
      <c r="C97" s="8"/>
      <c r="D97" s="10" t="s">
        <v>133</v>
      </c>
      <c r="E97" s="13" t="s">
        <v>19</v>
      </c>
      <c r="F97" s="13" t="s">
        <v>20</v>
      </c>
      <c r="G97" s="11">
        <v>9800000</v>
      </c>
      <c r="H97" s="24"/>
      <c r="I97" s="24"/>
      <c r="J97" s="24"/>
      <c r="K97" s="24"/>
      <c r="L97" s="24"/>
      <c r="M97" s="24">
        <f t="shared" si="5"/>
        <v>9800000</v>
      </c>
      <c r="N97" s="33">
        <v>45980</v>
      </c>
      <c r="O97" s="10"/>
    </row>
    <row r="98" spans="1:15" s="1" customFormat="1" ht="20.100000000000001" hidden="1" customHeight="1">
      <c r="A98" s="8">
        <v>93</v>
      </c>
      <c r="B98" s="13"/>
      <c r="C98" s="8"/>
      <c r="D98" s="10" t="s">
        <v>134</v>
      </c>
      <c r="E98" s="13" t="s">
        <v>19</v>
      </c>
      <c r="F98" s="13" t="s">
        <v>20</v>
      </c>
      <c r="G98" s="11">
        <v>9800000</v>
      </c>
      <c r="H98" s="24"/>
      <c r="I98" s="24"/>
      <c r="J98" s="24"/>
      <c r="K98" s="24"/>
      <c r="L98" s="24"/>
      <c r="M98" s="24">
        <f t="shared" si="5"/>
        <v>9800000</v>
      </c>
      <c r="N98" s="33">
        <v>45980</v>
      </c>
      <c r="O98" s="10"/>
    </row>
    <row r="99" spans="1:15" s="1" customFormat="1" ht="20.100000000000001" customHeight="1">
      <c r="A99" s="8">
        <v>94</v>
      </c>
      <c r="B99" s="13"/>
      <c r="C99" s="8"/>
      <c r="D99" s="10" t="s">
        <v>135</v>
      </c>
      <c r="E99" s="13" t="s">
        <v>19</v>
      </c>
      <c r="F99" s="13" t="s">
        <v>35</v>
      </c>
      <c r="G99" s="11">
        <v>9800000</v>
      </c>
      <c r="H99" s="24"/>
      <c r="I99" s="24"/>
      <c r="J99" s="24"/>
      <c r="K99" s="24"/>
      <c r="L99" s="24"/>
      <c r="M99" s="24">
        <f t="shared" si="5"/>
        <v>9800000</v>
      </c>
      <c r="N99" s="33">
        <v>45980</v>
      </c>
      <c r="O99" s="10"/>
    </row>
    <row r="100" spans="1:15" s="1" customFormat="1" ht="20.100000000000001" customHeight="1">
      <c r="A100" s="8">
        <v>95</v>
      </c>
      <c r="B100" s="13"/>
      <c r="C100" s="8"/>
      <c r="D100" s="10" t="s">
        <v>136</v>
      </c>
      <c r="E100" s="13" t="s">
        <v>19</v>
      </c>
      <c r="F100" s="13" t="s">
        <v>35</v>
      </c>
      <c r="G100" s="11">
        <v>9800000</v>
      </c>
      <c r="H100" s="24"/>
      <c r="I100" s="24"/>
      <c r="J100" s="24"/>
      <c r="K100" s="24"/>
      <c r="L100" s="24"/>
      <c r="M100" s="24">
        <f t="shared" si="5"/>
        <v>9800000</v>
      </c>
      <c r="N100" s="33">
        <v>45980</v>
      </c>
      <c r="O100" s="10"/>
    </row>
    <row r="101" spans="1:15" s="1" customFormat="1" ht="20.100000000000001" hidden="1" customHeight="1">
      <c r="A101" s="8">
        <v>96</v>
      </c>
      <c r="B101" s="13"/>
      <c r="C101" s="8"/>
      <c r="D101" s="10" t="s">
        <v>137</v>
      </c>
      <c r="E101" s="13" t="s">
        <v>19</v>
      </c>
      <c r="F101" s="13" t="s">
        <v>20</v>
      </c>
      <c r="G101" s="11">
        <v>9800000</v>
      </c>
      <c r="H101" s="24">
        <v>9800000</v>
      </c>
      <c r="I101" s="24"/>
      <c r="J101" s="24"/>
      <c r="K101" s="24"/>
      <c r="L101" s="24"/>
      <c r="M101" s="24">
        <f t="shared" si="5"/>
        <v>0</v>
      </c>
      <c r="N101" s="33">
        <v>45980</v>
      </c>
      <c r="O101" s="10" t="s">
        <v>38</v>
      </c>
    </row>
    <row r="102" spans="1:15" s="1" customFormat="1" ht="20.100000000000001" hidden="1" customHeight="1">
      <c r="A102" s="8">
        <v>97</v>
      </c>
      <c r="B102" s="13"/>
      <c r="C102" s="8"/>
      <c r="D102" s="10" t="s">
        <v>138</v>
      </c>
      <c r="E102" s="13" t="s">
        <v>19</v>
      </c>
      <c r="F102" s="13" t="s">
        <v>20</v>
      </c>
      <c r="G102" s="11">
        <v>9800000</v>
      </c>
      <c r="H102" s="24"/>
      <c r="I102" s="24"/>
      <c r="J102" s="24"/>
      <c r="K102" s="24"/>
      <c r="L102" s="24"/>
      <c r="M102" s="24">
        <f t="shared" si="5"/>
        <v>9800000</v>
      </c>
      <c r="N102" s="33">
        <v>45980</v>
      </c>
      <c r="O102" s="10"/>
    </row>
    <row r="103" spans="1:15" s="1" customFormat="1" ht="20.100000000000001" hidden="1" customHeight="1">
      <c r="A103" s="8">
        <v>98</v>
      </c>
      <c r="B103" s="13"/>
      <c r="C103" s="8"/>
      <c r="D103" s="10" t="s">
        <v>139</v>
      </c>
      <c r="E103" s="13" t="s">
        <v>19</v>
      </c>
      <c r="F103" s="13" t="s">
        <v>20</v>
      </c>
      <c r="G103" s="11">
        <v>9800000</v>
      </c>
      <c r="H103" s="24"/>
      <c r="I103" s="24"/>
      <c r="J103" s="24"/>
      <c r="K103" s="24"/>
      <c r="L103" s="24"/>
      <c r="M103" s="24">
        <f t="shared" si="5"/>
        <v>9800000</v>
      </c>
      <c r="N103" s="33">
        <v>45980</v>
      </c>
      <c r="O103" s="10"/>
    </row>
    <row r="104" spans="1:15" s="1" customFormat="1" ht="20.100000000000001" hidden="1" customHeight="1">
      <c r="A104" s="23">
        <v>99</v>
      </c>
      <c r="B104" s="22"/>
      <c r="C104" s="23"/>
      <c r="D104" s="34" t="s">
        <v>140</v>
      </c>
      <c r="E104" s="22" t="s">
        <v>19</v>
      </c>
      <c r="F104" s="22" t="s">
        <v>20</v>
      </c>
      <c r="G104" s="35">
        <v>9800000</v>
      </c>
      <c r="H104" s="36"/>
      <c r="I104" s="36"/>
      <c r="J104" s="36"/>
      <c r="K104" s="36"/>
      <c r="L104" s="36"/>
      <c r="M104" s="36">
        <f t="shared" si="5"/>
        <v>9800000</v>
      </c>
      <c r="N104" s="53">
        <v>45980</v>
      </c>
      <c r="O104" s="34" t="s">
        <v>126</v>
      </c>
    </row>
    <row r="105" spans="1:15" s="1" customFormat="1" ht="20.100000000000001" hidden="1" customHeight="1">
      <c r="A105" s="8">
        <v>100</v>
      </c>
      <c r="B105" s="13"/>
      <c r="C105" s="8"/>
      <c r="D105" s="10" t="s">
        <v>141</v>
      </c>
      <c r="E105" s="13" t="s">
        <v>19</v>
      </c>
      <c r="F105" s="13" t="s">
        <v>20</v>
      </c>
      <c r="G105" s="11">
        <v>9800000</v>
      </c>
      <c r="H105" s="24"/>
      <c r="I105" s="24"/>
      <c r="J105" s="24"/>
      <c r="K105" s="24"/>
      <c r="L105" s="24"/>
      <c r="M105" s="24">
        <f t="shared" si="5"/>
        <v>9800000</v>
      </c>
      <c r="N105" s="33">
        <v>45980</v>
      </c>
      <c r="O105" s="10"/>
    </row>
    <row r="106" spans="1:15" s="1" customFormat="1" ht="20.100000000000001" customHeight="1">
      <c r="A106" s="8">
        <v>101</v>
      </c>
      <c r="B106" s="13"/>
      <c r="C106" s="8"/>
      <c r="D106" s="10" t="s">
        <v>142</v>
      </c>
      <c r="E106" s="13" t="s">
        <v>19</v>
      </c>
      <c r="F106" s="13" t="s">
        <v>35</v>
      </c>
      <c r="G106" s="11">
        <v>9800000</v>
      </c>
      <c r="H106" s="24"/>
      <c r="I106" s="24"/>
      <c r="J106" s="24"/>
      <c r="K106" s="24"/>
      <c r="L106" s="24"/>
      <c r="M106" s="24">
        <f t="shared" si="5"/>
        <v>9800000</v>
      </c>
      <c r="N106" s="33">
        <v>45980</v>
      </c>
      <c r="O106" s="10"/>
    </row>
    <row r="107" spans="1:15" s="1" customFormat="1" ht="20.100000000000001" hidden="1" customHeight="1">
      <c r="A107" s="8">
        <v>102</v>
      </c>
      <c r="B107" s="13"/>
      <c r="C107" s="8"/>
      <c r="D107" s="10" t="s">
        <v>143</v>
      </c>
      <c r="E107" s="13" t="s">
        <v>19</v>
      </c>
      <c r="F107" s="13" t="s">
        <v>20</v>
      </c>
      <c r="G107" s="11">
        <v>9800000</v>
      </c>
      <c r="H107" s="24"/>
      <c r="I107" s="24"/>
      <c r="J107" s="24"/>
      <c r="K107" s="24"/>
      <c r="L107" s="24"/>
      <c r="M107" s="24">
        <f t="shared" si="5"/>
        <v>9800000</v>
      </c>
      <c r="N107" s="33">
        <v>45980</v>
      </c>
      <c r="O107" s="10"/>
    </row>
    <row r="108" spans="1:15" s="1" customFormat="1" ht="20.100000000000001" hidden="1" customHeight="1">
      <c r="A108" s="8">
        <v>103</v>
      </c>
      <c r="B108" s="13"/>
      <c r="C108" s="8"/>
      <c r="D108" s="10" t="s">
        <v>144</v>
      </c>
      <c r="E108" s="13" t="s">
        <v>19</v>
      </c>
      <c r="F108" s="13" t="s">
        <v>20</v>
      </c>
      <c r="G108" s="11">
        <v>9800000</v>
      </c>
      <c r="H108" s="24"/>
      <c r="I108" s="24"/>
      <c r="J108" s="24"/>
      <c r="K108" s="24"/>
      <c r="L108" s="24"/>
      <c r="M108" s="24">
        <f t="shared" si="5"/>
        <v>9800000</v>
      </c>
      <c r="N108" s="33">
        <v>45980</v>
      </c>
      <c r="O108" s="10"/>
    </row>
    <row r="109" spans="1:15" s="1" customFormat="1" ht="20.100000000000001" hidden="1" customHeight="1">
      <c r="A109" s="8">
        <v>104</v>
      </c>
      <c r="B109" s="13"/>
      <c r="C109" s="8"/>
      <c r="D109" s="10" t="s">
        <v>145</v>
      </c>
      <c r="E109" s="13" t="s">
        <v>23</v>
      </c>
      <c r="F109" s="13" t="s">
        <v>24</v>
      </c>
      <c r="G109" s="11">
        <v>9800000</v>
      </c>
      <c r="H109" s="24"/>
      <c r="I109" s="24"/>
      <c r="J109" s="24"/>
      <c r="K109" s="24"/>
      <c r="L109" s="24"/>
      <c r="M109" s="24">
        <f t="shared" si="5"/>
        <v>9800000</v>
      </c>
      <c r="N109" s="33">
        <v>45980</v>
      </c>
      <c r="O109" s="10"/>
    </row>
    <row r="110" spans="1:15" s="1" customFormat="1" ht="20.100000000000001" customHeight="1">
      <c r="A110" s="8">
        <v>105</v>
      </c>
      <c r="B110" s="13"/>
      <c r="C110" s="8"/>
      <c r="D110" s="10" t="s">
        <v>146</v>
      </c>
      <c r="E110" s="13" t="s">
        <v>19</v>
      </c>
      <c r="F110" s="13" t="s">
        <v>35</v>
      </c>
      <c r="G110" s="11">
        <v>9800000</v>
      </c>
      <c r="H110" s="24"/>
      <c r="I110" s="24"/>
      <c r="J110" s="24"/>
      <c r="K110" s="24"/>
      <c r="L110" s="24"/>
      <c r="M110" s="24">
        <f t="shared" si="5"/>
        <v>9800000</v>
      </c>
      <c r="N110" s="33">
        <v>45980</v>
      </c>
      <c r="O110" s="10"/>
    </row>
    <row r="111" spans="1:15" s="1" customFormat="1" ht="20.100000000000001" customHeight="1">
      <c r="A111" s="8">
        <v>106</v>
      </c>
      <c r="B111" s="13"/>
      <c r="C111" s="8"/>
      <c r="D111" s="10" t="s">
        <v>147</v>
      </c>
      <c r="E111" s="13" t="s">
        <v>19</v>
      </c>
      <c r="F111" s="13" t="s">
        <v>35</v>
      </c>
      <c r="G111" s="11">
        <v>9800000</v>
      </c>
      <c r="H111" s="24"/>
      <c r="I111" s="24"/>
      <c r="J111" s="24"/>
      <c r="K111" s="24"/>
      <c r="L111" s="24"/>
      <c r="M111" s="24">
        <f t="shared" si="5"/>
        <v>9800000</v>
      </c>
      <c r="N111" s="33">
        <v>45980</v>
      </c>
      <c r="O111" s="10"/>
    </row>
    <row r="112" spans="1:15" s="1" customFormat="1" ht="20.100000000000001" hidden="1" customHeight="1">
      <c r="A112" s="8">
        <v>107</v>
      </c>
      <c r="B112" s="13"/>
      <c r="C112" s="8"/>
      <c r="D112" s="10" t="s">
        <v>148</v>
      </c>
      <c r="E112" s="13" t="s">
        <v>23</v>
      </c>
      <c r="F112" s="13" t="s">
        <v>40</v>
      </c>
      <c r="G112" s="11">
        <v>9800000</v>
      </c>
      <c r="H112" s="24"/>
      <c r="I112" s="24"/>
      <c r="J112" s="24"/>
      <c r="K112" s="24"/>
      <c r="L112" s="24"/>
      <c r="M112" s="24">
        <f t="shared" si="5"/>
        <v>9800000</v>
      </c>
      <c r="N112" s="33">
        <v>45980</v>
      </c>
      <c r="O112" s="10"/>
    </row>
    <row r="113" spans="1:15" s="1" customFormat="1" ht="20.100000000000001" hidden="1" customHeight="1">
      <c r="A113" s="8">
        <v>108</v>
      </c>
      <c r="B113" s="13"/>
      <c r="C113" s="8"/>
      <c r="D113" s="10" t="s">
        <v>149</v>
      </c>
      <c r="E113" s="13" t="s">
        <v>19</v>
      </c>
      <c r="F113" s="13" t="s">
        <v>20</v>
      </c>
      <c r="G113" s="11">
        <v>9800000</v>
      </c>
      <c r="H113" s="24"/>
      <c r="I113" s="24"/>
      <c r="J113" s="24"/>
      <c r="K113" s="24"/>
      <c r="L113" s="24"/>
      <c r="M113" s="24">
        <f t="shared" si="5"/>
        <v>9800000</v>
      </c>
      <c r="N113" s="33">
        <v>45980</v>
      </c>
      <c r="O113" s="10"/>
    </row>
    <row r="114" spans="1:15" s="1" customFormat="1" ht="20.100000000000001" hidden="1" customHeight="1">
      <c r="A114" s="8">
        <v>109</v>
      </c>
      <c r="B114" s="13"/>
      <c r="C114" s="8"/>
      <c r="D114" s="10" t="s">
        <v>150</v>
      </c>
      <c r="E114" s="13" t="s">
        <v>19</v>
      </c>
      <c r="F114" s="13" t="s">
        <v>20</v>
      </c>
      <c r="G114" s="11">
        <v>9800000</v>
      </c>
      <c r="H114" s="24"/>
      <c r="I114" s="24"/>
      <c r="J114" s="24"/>
      <c r="K114" s="24"/>
      <c r="L114" s="24"/>
      <c r="M114" s="24">
        <f t="shared" si="5"/>
        <v>9800000</v>
      </c>
      <c r="N114" s="33">
        <v>45980</v>
      </c>
      <c r="O114" s="10"/>
    </row>
    <row r="115" spans="1:15" s="1" customFormat="1" ht="20.100000000000001" customHeight="1">
      <c r="A115" s="8">
        <v>110</v>
      </c>
      <c r="B115" s="13"/>
      <c r="C115" s="8"/>
      <c r="D115" s="10" t="s">
        <v>151</v>
      </c>
      <c r="E115" s="13" t="s">
        <v>19</v>
      </c>
      <c r="F115" s="13" t="s">
        <v>35</v>
      </c>
      <c r="G115" s="11">
        <v>9800000</v>
      </c>
      <c r="H115" s="24"/>
      <c r="I115" s="24"/>
      <c r="J115" s="24"/>
      <c r="K115" s="24"/>
      <c r="L115" s="24"/>
      <c r="M115" s="24">
        <f t="shared" si="5"/>
        <v>9800000</v>
      </c>
      <c r="N115" s="33">
        <v>45980</v>
      </c>
      <c r="O115" s="10"/>
    </row>
    <row r="116" spans="1:15" s="1" customFormat="1" ht="20.100000000000001" hidden="1" customHeight="1">
      <c r="A116" s="8">
        <v>111</v>
      </c>
      <c r="B116" s="13"/>
      <c r="C116" s="8"/>
      <c r="D116" s="10" t="s">
        <v>152</v>
      </c>
      <c r="E116" s="13" t="s">
        <v>19</v>
      </c>
      <c r="F116" s="13" t="s">
        <v>20</v>
      </c>
      <c r="G116" s="11">
        <v>9800000</v>
      </c>
      <c r="H116" s="24"/>
      <c r="I116" s="24"/>
      <c r="J116" s="24"/>
      <c r="K116" s="24"/>
      <c r="L116" s="24"/>
      <c r="M116" s="24">
        <f t="shared" si="5"/>
        <v>9800000</v>
      </c>
      <c r="N116" s="33">
        <v>45980</v>
      </c>
      <c r="O116" s="10"/>
    </row>
    <row r="117" spans="1:15" s="1" customFormat="1" ht="20.100000000000001" customHeight="1">
      <c r="A117" s="8">
        <v>112</v>
      </c>
      <c r="B117" s="13"/>
      <c r="C117" s="8"/>
      <c r="D117" s="10" t="s">
        <v>153</v>
      </c>
      <c r="E117" s="13" t="s">
        <v>19</v>
      </c>
      <c r="F117" s="13" t="s">
        <v>35</v>
      </c>
      <c r="G117" s="11">
        <v>9800000</v>
      </c>
      <c r="H117" s="24"/>
      <c r="I117" s="24"/>
      <c r="J117" s="24"/>
      <c r="K117" s="24"/>
      <c r="L117" s="24"/>
      <c r="M117" s="24">
        <f t="shared" si="5"/>
        <v>9800000</v>
      </c>
      <c r="N117" s="33">
        <v>45980</v>
      </c>
      <c r="O117" s="10"/>
    </row>
    <row r="118" spans="1:15" s="1" customFormat="1" ht="20.100000000000001" hidden="1" customHeight="1">
      <c r="A118" s="8">
        <v>113</v>
      </c>
      <c r="B118" s="13"/>
      <c r="C118" s="8"/>
      <c r="D118" s="10" t="s">
        <v>154</v>
      </c>
      <c r="E118" s="13"/>
      <c r="F118" s="13" t="s">
        <v>24</v>
      </c>
      <c r="G118" s="11">
        <v>9800000</v>
      </c>
      <c r="H118" s="24"/>
      <c r="I118" s="24"/>
      <c r="J118" s="24"/>
      <c r="K118" s="24"/>
      <c r="L118" s="24"/>
      <c r="M118" s="24">
        <f t="shared" si="5"/>
        <v>9800000</v>
      </c>
      <c r="N118" s="33">
        <v>45980</v>
      </c>
      <c r="O118" s="10"/>
    </row>
    <row r="119" spans="1:15" s="1" customFormat="1" ht="20.100000000000001" customHeight="1">
      <c r="A119" s="8">
        <v>114</v>
      </c>
      <c r="B119" s="13"/>
      <c r="C119" s="8"/>
      <c r="D119" s="10" t="s">
        <v>155</v>
      </c>
      <c r="E119" s="13" t="s">
        <v>19</v>
      </c>
      <c r="F119" s="13" t="s">
        <v>35</v>
      </c>
      <c r="G119" s="11">
        <v>9800000</v>
      </c>
      <c r="H119" s="24"/>
      <c r="I119" s="24"/>
      <c r="J119" s="24"/>
      <c r="K119" s="24"/>
      <c r="L119" s="24"/>
      <c r="M119" s="24">
        <f t="shared" si="5"/>
        <v>9800000</v>
      </c>
      <c r="N119" s="33">
        <v>45980</v>
      </c>
      <c r="O119" s="10"/>
    </row>
    <row r="120" spans="1:15" s="1" customFormat="1" ht="20.100000000000001" hidden="1" customHeight="1">
      <c r="A120" s="8">
        <v>115</v>
      </c>
      <c r="B120" s="13"/>
      <c r="C120" s="8"/>
      <c r="D120" s="10" t="s">
        <v>156</v>
      </c>
      <c r="E120" s="13" t="s">
        <v>19</v>
      </c>
      <c r="F120" s="13" t="s">
        <v>20</v>
      </c>
      <c r="G120" s="11">
        <v>9800000</v>
      </c>
      <c r="H120" s="24"/>
      <c r="I120" s="24"/>
      <c r="J120" s="24"/>
      <c r="K120" s="24"/>
      <c r="L120" s="24"/>
      <c r="M120" s="24">
        <f t="shared" si="5"/>
        <v>9800000</v>
      </c>
      <c r="N120" s="33">
        <v>45980</v>
      </c>
      <c r="O120" s="10"/>
    </row>
    <row r="121" spans="1:15" s="1" customFormat="1" ht="20.100000000000001" hidden="1" customHeight="1">
      <c r="A121" s="8">
        <v>116</v>
      </c>
      <c r="B121" s="13"/>
      <c r="C121" s="8"/>
      <c r="D121" s="10" t="s">
        <v>157</v>
      </c>
      <c r="E121" s="13" t="s">
        <v>19</v>
      </c>
      <c r="F121" s="13" t="s">
        <v>20</v>
      </c>
      <c r="G121" s="11">
        <v>9800000</v>
      </c>
      <c r="H121" s="24">
        <v>9800000</v>
      </c>
      <c r="I121" s="24"/>
      <c r="J121" s="24"/>
      <c r="K121" s="24"/>
      <c r="L121" s="24"/>
      <c r="M121" s="24">
        <f t="shared" si="5"/>
        <v>0</v>
      </c>
      <c r="N121" s="33">
        <v>45980</v>
      </c>
      <c r="O121" s="10" t="s">
        <v>38</v>
      </c>
    </row>
    <row r="122" spans="1:15" s="1" customFormat="1" ht="20.100000000000001" hidden="1" customHeight="1">
      <c r="A122" s="8">
        <v>117</v>
      </c>
      <c r="B122" s="13"/>
      <c r="C122" s="8"/>
      <c r="D122" s="10" t="s">
        <v>158</v>
      </c>
      <c r="E122" s="13" t="s">
        <v>19</v>
      </c>
      <c r="F122" s="13" t="s">
        <v>20</v>
      </c>
      <c r="G122" s="11">
        <v>9800000</v>
      </c>
      <c r="H122" s="24"/>
      <c r="I122" s="24"/>
      <c r="J122" s="24"/>
      <c r="K122" s="24"/>
      <c r="L122" s="24"/>
      <c r="M122" s="24">
        <f t="shared" si="5"/>
        <v>9800000</v>
      </c>
      <c r="N122" s="33">
        <v>45980</v>
      </c>
      <c r="O122" s="10" t="s">
        <v>48</v>
      </c>
    </row>
    <row r="123" spans="1:15" s="1" customFormat="1" ht="20.100000000000001" hidden="1" customHeight="1">
      <c r="A123" s="8">
        <v>118</v>
      </c>
      <c r="B123" s="13"/>
      <c r="C123" s="8"/>
      <c r="D123" s="10" t="s">
        <v>159</v>
      </c>
      <c r="E123" s="13" t="s">
        <v>19</v>
      </c>
      <c r="F123" s="13" t="s">
        <v>20</v>
      </c>
      <c r="G123" s="11">
        <v>9800000</v>
      </c>
      <c r="H123" s="24"/>
      <c r="I123" s="24"/>
      <c r="J123" s="24"/>
      <c r="K123" s="24"/>
      <c r="L123" s="24"/>
      <c r="M123" s="24">
        <f t="shared" si="5"/>
        <v>9800000</v>
      </c>
      <c r="N123" s="33">
        <v>45980</v>
      </c>
      <c r="O123" s="10" t="s">
        <v>48</v>
      </c>
    </row>
    <row r="124" spans="1:15" s="1" customFormat="1" ht="31.5">
      <c r="A124" s="23">
        <v>119</v>
      </c>
      <c r="B124" s="22"/>
      <c r="C124" s="23"/>
      <c r="D124" s="34" t="s">
        <v>160</v>
      </c>
      <c r="E124" s="22" t="s">
        <v>19</v>
      </c>
      <c r="F124" s="22" t="s">
        <v>35</v>
      </c>
      <c r="G124" s="35"/>
      <c r="H124" s="36"/>
      <c r="I124" s="36"/>
      <c r="J124" s="36"/>
      <c r="K124" s="36"/>
      <c r="L124" s="36"/>
      <c r="M124" s="36">
        <f t="shared" si="5"/>
        <v>0</v>
      </c>
      <c r="N124" s="53">
        <v>45980</v>
      </c>
      <c r="O124" s="34" t="s">
        <v>126</v>
      </c>
    </row>
    <row r="125" spans="1:15" s="1" customFormat="1" ht="20.100000000000001" customHeight="1">
      <c r="A125" s="8">
        <v>120</v>
      </c>
      <c r="B125" s="13"/>
      <c r="C125" s="8"/>
      <c r="D125" s="10" t="s">
        <v>161</v>
      </c>
      <c r="E125" s="13" t="s">
        <v>19</v>
      </c>
      <c r="F125" s="13" t="s">
        <v>35</v>
      </c>
      <c r="G125" s="11">
        <v>9800000</v>
      </c>
      <c r="H125" s="24"/>
      <c r="I125" s="24"/>
      <c r="J125" s="24"/>
      <c r="K125" s="24"/>
      <c r="L125" s="24"/>
      <c r="M125" s="24">
        <f t="shared" si="5"/>
        <v>9800000</v>
      </c>
      <c r="N125" s="33">
        <v>45980</v>
      </c>
      <c r="O125" s="10"/>
    </row>
    <row r="126" spans="1:15" s="1" customFormat="1" ht="20.100000000000001" customHeight="1">
      <c r="A126" s="8">
        <v>121</v>
      </c>
      <c r="B126" s="13"/>
      <c r="C126" s="8"/>
      <c r="D126" s="10" t="s">
        <v>162</v>
      </c>
      <c r="E126" s="13" t="s">
        <v>19</v>
      </c>
      <c r="F126" s="13" t="s">
        <v>35</v>
      </c>
      <c r="G126" s="11">
        <v>9800000</v>
      </c>
      <c r="H126" s="24"/>
      <c r="I126" s="24"/>
      <c r="J126" s="24"/>
      <c r="K126" s="24"/>
      <c r="L126" s="24"/>
      <c r="M126" s="24">
        <f t="shared" si="5"/>
        <v>9800000</v>
      </c>
      <c r="N126" s="33">
        <v>45980</v>
      </c>
      <c r="O126" s="10"/>
    </row>
    <row r="127" spans="1:15" s="1" customFormat="1" ht="20.100000000000001" customHeight="1">
      <c r="A127" s="8">
        <v>122</v>
      </c>
      <c r="B127" s="13"/>
      <c r="C127" s="8"/>
      <c r="D127" s="10" t="s">
        <v>163</v>
      </c>
      <c r="E127" s="13" t="s">
        <v>19</v>
      </c>
      <c r="F127" s="13" t="s">
        <v>35</v>
      </c>
      <c r="G127" s="11">
        <v>9800000</v>
      </c>
      <c r="H127" s="24"/>
      <c r="I127" s="24"/>
      <c r="J127" s="24"/>
      <c r="K127" s="24"/>
      <c r="L127" s="24"/>
      <c r="M127" s="24">
        <f t="shared" si="5"/>
        <v>9800000</v>
      </c>
      <c r="N127" s="33">
        <v>45980</v>
      </c>
      <c r="O127" s="10"/>
    </row>
    <row r="128" spans="1:15" s="1" customFormat="1" ht="20.100000000000001" customHeight="1">
      <c r="A128" s="8">
        <v>123</v>
      </c>
      <c r="B128" s="13"/>
      <c r="C128" s="8"/>
      <c r="D128" s="10" t="s">
        <v>164</v>
      </c>
      <c r="E128" s="13" t="s">
        <v>19</v>
      </c>
      <c r="F128" s="13" t="s">
        <v>35</v>
      </c>
      <c r="G128" s="11">
        <v>9800000</v>
      </c>
      <c r="H128" s="24"/>
      <c r="I128" s="24"/>
      <c r="J128" s="24"/>
      <c r="K128" s="24"/>
      <c r="L128" s="24"/>
      <c r="M128" s="24">
        <f t="shared" si="5"/>
        <v>9800000</v>
      </c>
      <c r="N128" s="33">
        <v>45980</v>
      </c>
      <c r="O128" s="10"/>
    </row>
    <row r="129" spans="1:15" s="1" customFormat="1" ht="20.100000000000001" customHeight="1">
      <c r="A129" s="8">
        <v>124</v>
      </c>
      <c r="B129" s="13"/>
      <c r="C129" s="8"/>
      <c r="D129" s="10" t="s">
        <v>165</v>
      </c>
      <c r="E129" s="13" t="s">
        <v>19</v>
      </c>
      <c r="F129" s="13" t="s">
        <v>35</v>
      </c>
      <c r="G129" s="11">
        <v>9800000</v>
      </c>
      <c r="H129" s="24"/>
      <c r="I129" s="24"/>
      <c r="J129" s="24"/>
      <c r="K129" s="24"/>
      <c r="L129" s="24"/>
      <c r="M129" s="24">
        <f t="shared" si="5"/>
        <v>9800000</v>
      </c>
      <c r="N129" s="33">
        <v>45980</v>
      </c>
      <c r="O129" s="10"/>
    </row>
    <row r="130" spans="1:15" s="1" customFormat="1" ht="20.100000000000001" customHeight="1">
      <c r="A130" s="8">
        <v>125</v>
      </c>
      <c r="B130" s="13"/>
      <c r="C130" s="8"/>
      <c r="D130" s="10" t="s">
        <v>166</v>
      </c>
      <c r="E130" s="13" t="s">
        <v>19</v>
      </c>
      <c r="F130" s="13" t="s">
        <v>35</v>
      </c>
      <c r="G130" s="11">
        <v>9800000</v>
      </c>
      <c r="H130" s="24"/>
      <c r="I130" s="24"/>
      <c r="J130" s="24"/>
      <c r="K130" s="24"/>
      <c r="L130" s="24"/>
      <c r="M130" s="24">
        <f t="shared" si="5"/>
        <v>9800000</v>
      </c>
      <c r="N130" s="33">
        <v>45980</v>
      </c>
      <c r="O130" s="10"/>
    </row>
    <row r="131" spans="1:15" s="1" customFormat="1" ht="20.100000000000001" customHeight="1">
      <c r="A131" s="8">
        <v>126</v>
      </c>
      <c r="B131" s="13"/>
      <c r="C131" s="8"/>
      <c r="D131" s="10" t="s">
        <v>167</v>
      </c>
      <c r="E131" s="13" t="s">
        <v>19</v>
      </c>
      <c r="F131" s="13" t="s">
        <v>35</v>
      </c>
      <c r="G131" s="11">
        <v>9800000</v>
      </c>
      <c r="H131" s="24"/>
      <c r="I131" s="24"/>
      <c r="J131" s="24"/>
      <c r="K131" s="24"/>
      <c r="L131" s="24"/>
      <c r="M131" s="24">
        <f t="shared" si="5"/>
        <v>9800000</v>
      </c>
      <c r="N131" s="33">
        <v>45980</v>
      </c>
      <c r="O131" s="10"/>
    </row>
    <row r="132" spans="1:15" s="1" customFormat="1" ht="20.100000000000001" customHeight="1">
      <c r="A132" s="8">
        <v>127</v>
      </c>
      <c r="B132" s="13"/>
      <c r="C132" s="8"/>
      <c r="D132" s="10" t="s">
        <v>168</v>
      </c>
      <c r="E132" s="13" t="s">
        <v>19</v>
      </c>
      <c r="F132" s="13" t="s">
        <v>35</v>
      </c>
      <c r="G132" s="11">
        <v>9800000</v>
      </c>
      <c r="H132" s="24"/>
      <c r="I132" s="24"/>
      <c r="J132" s="24"/>
      <c r="K132" s="24"/>
      <c r="L132" s="24"/>
      <c r="M132" s="24">
        <f t="shared" si="5"/>
        <v>9800000</v>
      </c>
      <c r="N132" s="33">
        <v>45980</v>
      </c>
      <c r="O132" s="10"/>
    </row>
    <row r="133" spans="1:15" s="1" customFormat="1" ht="20.100000000000001" hidden="1" customHeight="1">
      <c r="A133" s="8"/>
      <c r="B133" s="13"/>
      <c r="C133" s="8"/>
      <c r="D133" s="10"/>
      <c r="E133" s="13"/>
      <c r="F133" s="13"/>
      <c r="G133" s="11"/>
      <c r="H133" s="24"/>
      <c r="I133" s="24"/>
      <c r="J133" s="24"/>
      <c r="K133" s="24"/>
      <c r="L133" s="24"/>
      <c r="M133" s="24"/>
      <c r="N133" s="33"/>
      <c r="O133" s="10"/>
    </row>
    <row r="134" spans="1:15" s="1" customFormat="1" ht="20.100000000000001" hidden="1" customHeight="1">
      <c r="A134" s="8"/>
      <c r="B134" s="13"/>
      <c r="C134" s="8"/>
      <c r="D134" s="10"/>
      <c r="E134" s="13"/>
      <c r="F134" s="13"/>
      <c r="G134" s="11"/>
      <c r="H134" s="24"/>
      <c r="I134" s="24"/>
      <c r="J134" s="24"/>
      <c r="K134" s="24"/>
      <c r="L134" s="24"/>
      <c r="M134" s="24"/>
      <c r="N134" s="33"/>
      <c r="O134" s="10"/>
    </row>
    <row r="135" spans="1:15" s="1" customFormat="1" ht="20.100000000000001" hidden="1" customHeight="1">
      <c r="A135" s="8"/>
      <c r="B135" s="13"/>
      <c r="C135" s="8"/>
      <c r="D135" s="10"/>
      <c r="E135" s="13"/>
      <c r="F135" s="13"/>
      <c r="G135" s="11"/>
      <c r="H135" s="24"/>
      <c r="I135" s="24"/>
      <c r="J135" s="24"/>
      <c r="K135" s="24"/>
      <c r="L135" s="24"/>
      <c r="M135" s="24"/>
      <c r="N135" s="55"/>
      <c r="O135" s="10"/>
    </row>
    <row r="136" spans="1:15" hidden="1">
      <c r="A136" s="38"/>
      <c r="B136" s="38"/>
      <c r="C136" s="38"/>
      <c r="D136" s="39"/>
      <c r="E136" s="38"/>
      <c r="F136" s="38"/>
      <c r="G136" s="40">
        <f>SUM(G7:G135)</f>
        <v>1117200000</v>
      </c>
      <c r="H136" s="41">
        <f>SUM(H7:H134)</f>
        <v>293500000</v>
      </c>
      <c r="I136" s="41">
        <f>SUM(I7:I134)</f>
        <v>3000000</v>
      </c>
      <c r="J136" s="41">
        <f>SUM(J7:J46)</f>
        <v>0</v>
      </c>
      <c r="K136" s="41">
        <f>SUM(K7:K46)</f>
        <v>0</v>
      </c>
      <c r="L136" s="41">
        <f>SUM(L7:L46)</f>
        <v>0</v>
      </c>
      <c r="M136" s="41">
        <f>SUM(M7:M133)</f>
        <v>820700000</v>
      </c>
      <c r="N136" s="41"/>
      <c r="O136" s="40"/>
    </row>
    <row r="138" spans="1:15">
      <c r="A138" s="42"/>
      <c r="B138" s="43"/>
      <c r="C138" s="44"/>
      <c r="D138" s="45" t="s">
        <v>169</v>
      </c>
      <c r="E138" s="8">
        <f>COUNTIF(F6:F135,"MTs Putra")</f>
        <v>54</v>
      </c>
    </row>
    <row r="139" spans="1:15">
      <c r="A139" s="42"/>
      <c r="B139" s="43"/>
      <c r="C139" s="46"/>
      <c r="D139" s="45" t="s">
        <v>170</v>
      </c>
      <c r="E139" s="8">
        <f>COUNTIF(F7:F134,"MTs Putri")</f>
        <v>25</v>
      </c>
    </row>
    <row r="140" spans="1:15">
      <c r="A140" s="42"/>
      <c r="B140" s="44"/>
      <c r="C140" s="47"/>
      <c r="D140" s="45" t="s">
        <v>40</v>
      </c>
      <c r="E140" s="8">
        <f>COUNTIF(F8:F134,"IL Putri")</f>
        <v>13</v>
      </c>
    </row>
    <row r="141" spans="1:15">
      <c r="A141" s="44"/>
      <c r="B141" s="44"/>
      <c r="C141" s="48"/>
      <c r="D141" s="49" t="s">
        <v>35</v>
      </c>
      <c r="E141" s="8">
        <f>COUNTIF(F9:F134,"IL Putra")</f>
        <v>35</v>
      </c>
    </row>
    <row r="142" spans="1:15">
      <c r="B142" s="50"/>
      <c r="C142" s="50"/>
      <c r="D142" s="51" t="s">
        <v>171</v>
      </c>
      <c r="E142" s="8">
        <f>COUNTIF(F10:F64,"SMA")</f>
        <v>0</v>
      </c>
    </row>
    <row r="143" spans="1:15">
      <c r="A143" s="71"/>
      <c r="B143" s="71"/>
      <c r="C143" s="72"/>
      <c r="D143" s="72"/>
      <c r="E143" s="52"/>
    </row>
    <row r="144" spans="1:15">
      <c r="D144" s="10" t="s">
        <v>48</v>
      </c>
      <c r="E144" s="56">
        <f>COUNTIF(O6:O134,"akamsi")</f>
        <v>6</v>
      </c>
    </row>
    <row r="145" spans="1:15">
      <c r="D145" s="10" t="s">
        <v>27</v>
      </c>
      <c r="E145" s="56">
        <f>COUNTIF(O7:O136,"Anak Staff")</f>
        <v>5</v>
      </c>
    </row>
    <row r="146" spans="1:15">
      <c r="D146" s="10" t="s">
        <v>31</v>
      </c>
      <c r="E146" s="56">
        <f>COUNTIF(O8:O136,"orang pusat")</f>
        <v>6</v>
      </c>
    </row>
    <row r="148" spans="1:15" s="1" customFormat="1" ht="20.100000000000001" customHeight="1">
      <c r="A148" s="8">
        <v>36</v>
      </c>
      <c r="B148" s="13"/>
      <c r="C148" s="8"/>
      <c r="D148" s="34" t="s">
        <v>172</v>
      </c>
      <c r="E148" s="13" t="s">
        <v>29</v>
      </c>
      <c r="F148" s="8" t="s">
        <v>20</v>
      </c>
      <c r="G148" s="11">
        <v>9800000</v>
      </c>
      <c r="H148" s="12">
        <v>5000000</v>
      </c>
      <c r="I148" s="24">
        <v>2000000</v>
      </c>
      <c r="J148" s="24"/>
      <c r="K148" s="24"/>
      <c r="L148" s="24"/>
      <c r="M148" s="24">
        <f>G148-H148-I148-J148-K148-L148</f>
        <v>2800000</v>
      </c>
      <c r="N148" s="24" t="s">
        <v>67</v>
      </c>
      <c r="O148" s="10"/>
    </row>
  </sheetData>
  <autoFilter ref="B5:O136" xr:uid="{00000000-0009-0000-0000-000000000000}">
    <filterColumn colId="4">
      <filters>
        <filter val="IL Putra"/>
      </filters>
    </filterColumn>
  </autoFilter>
  <mergeCells count="15">
    <mergeCell ref="A1:O1"/>
    <mergeCell ref="A2:O2"/>
    <mergeCell ref="H3:L3"/>
    <mergeCell ref="A143:B143"/>
    <mergeCell ref="C143:D143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</mergeCells>
  <pageMargins left="0.109722222222222" right="0.109722222222222" top="0.35763888888888901" bottom="0.35763888888888901" header="0.102083333333333" footer="0.102083333333333"/>
  <pageSetup paperSize="9" scale="80" fitToWidth="0" fitToHeight="0" orientation="landscape"/>
  <ignoredErrors>
    <ignoredError sqref="G136:H1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4"/>
  <sheetViews>
    <sheetView tabSelected="1" zoomScale="110" zoomScaleNormal="110" workbookViewId="0">
      <pane xSplit="8" ySplit="5" topLeftCell="K26" activePane="bottomRight" state="frozen"/>
      <selection pane="topRight"/>
      <selection pane="bottomLeft"/>
      <selection pane="bottomRight" activeCell="O31" sqref="O31"/>
    </sheetView>
  </sheetViews>
  <sheetFormatPr defaultColWidth="9.140625" defaultRowHeight="15.75"/>
  <cols>
    <col min="1" max="1" width="4.42578125" style="2" customWidth="1"/>
    <col min="2" max="2" width="13.7109375" style="2" hidden="1" customWidth="1"/>
    <col min="3" max="3" width="16.5703125" style="2" hidden="1" customWidth="1"/>
    <col min="4" max="4" width="29.140625" style="2" customWidth="1"/>
    <col min="5" max="5" width="6.140625" style="3" customWidth="1"/>
    <col min="6" max="6" width="10.28515625" style="2" customWidth="1"/>
    <col min="7" max="7" width="17.42578125" style="2" customWidth="1"/>
    <col min="8" max="8" width="15.5703125" style="2" customWidth="1"/>
    <col min="9" max="9" width="14.7109375" style="2" customWidth="1"/>
    <col min="10" max="12" width="13.7109375" style="2" customWidth="1"/>
    <col min="13" max="13" width="15.5703125" style="2" customWidth="1"/>
    <col min="14" max="14" width="20.5703125" style="2" customWidth="1"/>
    <col min="15" max="15" width="16.5703125" style="2" customWidth="1"/>
    <col min="16" max="16384" width="9.140625" style="2"/>
  </cols>
  <sheetData>
    <row r="1" spans="1:15" ht="18.9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8.95" customHeight="1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ht="15.75" customHeight="1">
      <c r="A3" s="73" t="s">
        <v>2</v>
      </c>
      <c r="B3" s="73" t="s">
        <v>3</v>
      </c>
      <c r="C3" s="73" t="s">
        <v>4</v>
      </c>
      <c r="D3" s="73" t="s">
        <v>5</v>
      </c>
      <c r="E3" s="73" t="s">
        <v>6</v>
      </c>
      <c r="F3" s="73" t="s">
        <v>7</v>
      </c>
      <c r="G3" s="75" t="s">
        <v>8</v>
      </c>
      <c r="H3" s="70" t="s">
        <v>9</v>
      </c>
      <c r="I3" s="70"/>
      <c r="J3" s="70"/>
      <c r="K3" s="70"/>
      <c r="L3" s="70"/>
      <c r="M3" s="77" t="s">
        <v>10</v>
      </c>
      <c r="N3" s="77" t="s">
        <v>11</v>
      </c>
      <c r="O3" s="79" t="s">
        <v>12</v>
      </c>
    </row>
    <row r="4" spans="1:15">
      <c r="A4" s="74"/>
      <c r="B4" s="74"/>
      <c r="C4" s="74"/>
      <c r="D4" s="74"/>
      <c r="E4" s="74"/>
      <c r="F4" s="74"/>
      <c r="G4" s="76"/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78"/>
      <c r="N4" s="78"/>
      <c r="O4" s="80"/>
    </row>
    <row r="5" spans="1:15" ht="9" customHeight="1">
      <c r="A5" s="5"/>
      <c r="B5" s="5"/>
      <c r="C5" s="5"/>
      <c r="D5" s="6"/>
      <c r="E5" s="6"/>
      <c r="F5" s="5"/>
      <c r="G5" s="7"/>
      <c r="H5" s="5"/>
      <c r="I5" s="5"/>
      <c r="J5" s="5"/>
      <c r="K5" s="6"/>
      <c r="L5" s="6"/>
      <c r="M5" s="29"/>
      <c r="N5" s="29"/>
      <c r="O5" s="29"/>
    </row>
    <row r="6" spans="1:15" s="1" customFormat="1">
      <c r="A6" s="8">
        <v>1</v>
      </c>
      <c r="B6" s="9"/>
      <c r="C6" s="9"/>
      <c r="D6" s="10" t="s">
        <v>18</v>
      </c>
      <c r="E6" s="8" t="s">
        <v>19</v>
      </c>
      <c r="F6" s="8" t="s">
        <v>20</v>
      </c>
      <c r="G6" s="11">
        <v>9800000</v>
      </c>
      <c r="H6" s="12">
        <v>4900000</v>
      </c>
      <c r="I6" s="30"/>
      <c r="J6" s="30"/>
      <c r="K6" s="30"/>
      <c r="L6" s="30"/>
      <c r="M6" s="24">
        <f>G6-H6-I6-J6-K6-L6</f>
        <v>4900000</v>
      </c>
      <c r="N6" s="63" t="s">
        <v>21</v>
      </c>
      <c r="O6" s="31"/>
    </row>
    <row r="7" spans="1:15" s="1" customFormat="1" ht="20.100000000000001" customHeight="1">
      <c r="A7" s="8">
        <v>2</v>
      </c>
      <c r="B7" s="13"/>
      <c r="C7" s="8"/>
      <c r="D7" s="10" t="s">
        <v>22</v>
      </c>
      <c r="E7" s="13" t="s">
        <v>23</v>
      </c>
      <c r="F7" s="13" t="s">
        <v>24</v>
      </c>
      <c r="G7" s="11">
        <v>9800000</v>
      </c>
      <c r="H7" s="12">
        <v>4900000</v>
      </c>
      <c r="I7" s="24"/>
      <c r="J7" s="24"/>
      <c r="K7" s="24"/>
      <c r="L7" s="24"/>
      <c r="M7" s="24">
        <f t="shared" ref="M7:M38" si="0">G7-H7-I7-J7-K7-L7</f>
        <v>4900000</v>
      </c>
      <c r="N7" s="63" t="s">
        <v>21</v>
      </c>
      <c r="O7" s="10"/>
    </row>
    <row r="8" spans="1:15" s="1" customFormat="1" ht="20.100000000000001" customHeight="1">
      <c r="A8" s="8">
        <v>3</v>
      </c>
      <c r="B8" s="13"/>
      <c r="C8" s="8"/>
      <c r="D8" s="10" t="s">
        <v>25</v>
      </c>
      <c r="E8" s="13" t="s">
        <v>23</v>
      </c>
      <c r="F8" s="13" t="s">
        <v>24</v>
      </c>
      <c r="G8" s="11">
        <v>9800000</v>
      </c>
      <c r="H8" s="12">
        <v>4900000</v>
      </c>
      <c r="I8" s="24">
        <v>4900000</v>
      </c>
      <c r="J8" s="24"/>
      <c r="K8" s="24"/>
      <c r="L8" s="24"/>
      <c r="M8" s="24">
        <f t="shared" si="0"/>
        <v>0</v>
      </c>
      <c r="N8" s="63" t="s">
        <v>21</v>
      </c>
      <c r="O8" s="10" t="s">
        <v>38</v>
      </c>
    </row>
    <row r="9" spans="1:15" s="1" customFormat="1" ht="20.100000000000001" customHeight="1">
      <c r="A9" s="8">
        <v>4</v>
      </c>
      <c r="B9" s="14"/>
      <c r="C9" s="15"/>
      <c r="D9" s="16" t="s">
        <v>26</v>
      </c>
      <c r="E9" s="14" t="s">
        <v>23</v>
      </c>
      <c r="F9" s="14" t="s">
        <v>24</v>
      </c>
      <c r="G9" s="17"/>
      <c r="H9" s="12"/>
      <c r="I9" s="12"/>
      <c r="J9" s="12"/>
      <c r="K9" s="12"/>
      <c r="L9" s="12"/>
      <c r="M9" s="24">
        <f t="shared" si="0"/>
        <v>0</v>
      </c>
      <c r="N9" s="64" t="s">
        <v>21</v>
      </c>
      <c r="O9" s="16" t="s">
        <v>27</v>
      </c>
    </row>
    <row r="10" spans="1:15" s="1" customFormat="1" ht="20.100000000000001" customHeight="1">
      <c r="A10" s="8">
        <v>5</v>
      </c>
      <c r="B10" s="13"/>
      <c r="C10" s="8"/>
      <c r="D10" s="10" t="s">
        <v>28</v>
      </c>
      <c r="E10" s="13" t="s">
        <v>29</v>
      </c>
      <c r="F10" s="8" t="s">
        <v>20</v>
      </c>
      <c r="G10" s="11">
        <v>9800000</v>
      </c>
      <c r="H10" s="12">
        <v>4900000</v>
      </c>
      <c r="I10" s="24"/>
      <c r="J10" s="24"/>
      <c r="K10" s="24"/>
      <c r="L10" s="24"/>
      <c r="M10" s="24">
        <f t="shared" si="0"/>
        <v>4900000</v>
      </c>
      <c r="N10" s="63" t="s">
        <v>21</v>
      </c>
      <c r="O10" s="10"/>
    </row>
    <row r="11" spans="1:15" s="1" customFormat="1" ht="20.100000000000001" customHeight="1">
      <c r="A11" s="8">
        <v>6</v>
      </c>
      <c r="B11" s="13"/>
      <c r="C11" s="8"/>
      <c r="D11" s="18" t="s">
        <v>30</v>
      </c>
      <c r="E11" s="19" t="s">
        <v>23</v>
      </c>
      <c r="F11" s="19" t="s">
        <v>24</v>
      </c>
      <c r="G11" s="20">
        <v>9800000</v>
      </c>
      <c r="H11" s="21">
        <v>9800000</v>
      </c>
      <c r="I11" s="21"/>
      <c r="J11" s="21"/>
      <c r="K11" s="21"/>
      <c r="L11" s="21"/>
      <c r="M11" s="24">
        <f t="shared" si="0"/>
        <v>0</v>
      </c>
      <c r="N11" s="65" t="s">
        <v>21</v>
      </c>
      <c r="O11" s="18" t="s">
        <v>173</v>
      </c>
    </row>
    <row r="12" spans="1:15" s="1" customFormat="1" ht="20.100000000000001" customHeight="1">
      <c r="A12" s="8">
        <v>7</v>
      </c>
      <c r="B12" s="22"/>
      <c r="C12" s="23"/>
      <c r="D12" s="10" t="s">
        <v>32</v>
      </c>
      <c r="E12" s="13" t="s">
        <v>29</v>
      </c>
      <c r="F12" s="8" t="s">
        <v>20</v>
      </c>
      <c r="G12" s="11">
        <v>9800000</v>
      </c>
      <c r="H12" s="24">
        <v>4900000</v>
      </c>
      <c r="I12" s="24">
        <v>2500000</v>
      </c>
      <c r="J12" s="24"/>
      <c r="K12" s="24"/>
      <c r="L12" s="24"/>
      <c r="M12" s="24">
        <f t="shared" si="0"/>
        <v>2400000</v>
      </c>
      <c r="N12" s="63" t="s">
        <v>21</v>
      </c>
      <c r="O12" s="10"/>
    </row>
    <row r="13" spans="1:15" s="1" customFormat="1" ht="20.100000000000001" customHeight="1">
      <c r="A13" s="8">
        <v>8</v>
      </c>
      <c r="B13" s="13"/>
      <c r="C13" s="8"/>
      <c r="D13" s="10" t="s">
        <v>33</v>
      </c>
      <c r="E13" s="13" t="s">
        <v>29</v>
      </c>
      <c r="F13" s="8" t="s">
        <v>20</v>
      </c>
      <c r="G13" s="11">
        <v>9800000</v>
      </c>
      <c r="H13" s="12">
        <v>4900000</v>
      </c>
      <c r="I13" s="24">
        <v>4900000</v>
      </c>
      <c r="J13" s="24"/>
      <c r="K13" s="24"/>
      <c r="L13" s="24"/>
      <c r="M13" s="24">
        <f t="shared" si="0"/>
        <v>0</v>
      </c>
      <c r="N13" s="63" t="s">
        <v>21</v>
      </c>
      <c r="O13" s="10" t="s">
        <v>38</v>
      </c>
    </row>
    <row r="14" spans="1:15" s="1" customFormat="1" ht="20.100000000000001" customHeight="1">
      <c r="A14" s="8">
        <v>9</v>
      </c>
      <c r="B14" s="13"/>
      <c r="C14" s="8"/>
      <c r="D14" s="10" t="s">
        <v>34</v>
      </c>
      <c r="E14" s="13" t="s">
        <v>29</v>
      </c>
      <c r="F14" s="13" t="s">
        <v>35</v>
      </c>
      <c r="G14" s="11">
        <v>9800000</v>
      </c>
      <c r="H14" s="12">
        <v>4900000</v>
      </c>
      <c r="I14" s="24"/>
      <c r="J14" s="24"/>
      <c r="K14" s="24"/>
      <c r="L14" s="24"/>
      <c r="M14" s="24">
        <f t="shared" si="0"/>
        <v>4900000</v>
      </c>
      <c r="N14" s="63" t="s">
        <v>21</v>
      </c>
      <c r="O14" s="10"/>
    </row>
    <row r="15" spans="1:15" s="1" customFormat="1" ht="31.5">
      <c r="A15" s="8">
        <v>10</v>
      </c>
      <c r="B15" s="13"/>
      <c r="C15" s="8"/>
      <c r="D15" s="10" t="s">
        <v>36</v>
      </c>
      <c r="E15" s="13" t="s">
        <v>29</v>
      </c>
      <c r="F15" s="8" t="s">
        <v>20</v>
      </c>
      <c r="G15" s="11">
        <v>9800000</v>
      </c>
      <c r="H15" s="12">
        <v>5000000</v>
      </c>
      <c r="I15" s="24">
        <v>4800000</v>
      </c>
      <c r="J15" s="24"/>
      <c r="K15" s="24"/>
      <c r="L15" s="24"/>
      <c r="M15" s="24">
        <f t="shared" si="0"/>
        <v>0</v>
      </c>
      <c r="N15" s="63" t="s">
        <v>21</v>
      </c>
      <c r="O15" s="10" t="s">
        <v>38</v>
      </c>
    </row>
    <row r="16" spans="1:15" s="1" customFormat="1">
      <c r="A16" s="8">
        <v>11</v>
      </c>
      <c r="B16" s="13"/>
      <c r="C16" s="8"/>
      <c r="D16" s="10" t="s">
        <v>37</v>
      </c>
      <c r="E16" s="13" t="s">
        <v>29</v>
      </c>
      <c r="F16" s="8" t="s">
        <v>20</v>
      </c>
      <c r="G16" s="11">
        <v>9800000</v>
      </c>
      <c r="H16" s="12">
        <v>9800000</v>
      </c>
      <c r="I16" s="24"/>
      <c r="J16" s="24"/>
      <c r="K16" s="24"/>
      <c r="L16" s="24"/>
      <c r="M16" s="24">
        <f t="shared" si="0"/>
        <v>0</v>
      </c>
      <c r="N16" s="63" t="s">
        <v>21</v>
      </c>
      <c r="O16" s="10" t="s">
        <v>38</v>
      </c>
    </row>
    <row r="17" spans="1:15" s="1" customFormat="1" ht="20.100000000000001" customHeight="1">
      <c r="A17" s="8">
        <v>12</v>
      </c>
      <c r="B17" s="14"/>
      <c r="C17" s="15"/>
      <c r="D17" s="16" t="s">
        <v>39</v>
      </c>
      <c r="E17" s="14" t="s">
        <v>23</v>
      </c>
      <c r="F17" s="14" t="s">
        <v>40</v>
      </c>
      <c r="G17" s="17"/>
      <c r="H17" s="12"/>
      <c r="I17" s="12"/>
      <c r="J17" s="12"/>
      <c r="K17" s="12"/>
      <c r="L17" s="12"/>
      <c r="M17" s="24">
        <f t="shared" si="0"/>
        <v>0</v>
      </c>
      <c r="N17" s="64" t="s">
        <v>21</v>
      </c>
      <c r="O17" s="16" t="s">
        <v>27</v>
      </c>
    </row>
    <row r="18" spans="1:15" s="1" customFormat="1" ht="20.100000000000001" customHeight="1">
      <c r="A18" s="8">
        <v>13</v>
      </c>
      <c r="B18" s="13"/>
      <c r="C18" s="8"/>
      <c r="D18" s="18" t="s">
        <v>41</v>
      </c>
      <c r="E18" s="19" t="s">
        <v>23</v>
      </c>
      <c r="F18" s="19" t="s">
        <v>24</v>
      </c>
      <c r="G18" s="20">
        <v>9800000</v>
      </c>
      <c r="H18" s="21">
        <v>9800000</v>
      </c>
      <c r="I18" s="21"/>
      <c r="J18" s="21"/>
      <c r="K18" s="21"/>
      <c r="L18" s="21"/>
      <c r="M18" s="24">
        <f t="shared" si="0"/>
        <v>0</v>
      </c>
      <c r="N18" s="65" t="s">
        <v>21</v>
      </c>
      <c r="O18" s="18" t="s">
        <v>173</v>
      </c>
    </row>
    <row r="19" spans="1:15" s="1" customFormat="1" ht="20.100000000000001" customHeight="1">
      <c r="A19" s="8">
        <v>14</v>
      </c>
      <c r="B19" s="13"/>
      <c r="C19" s="8"/>
      <c r="D19" s="10" t="s">
        <v>42</v>
      </c>
      <c r="E19" s="13" t="s">
        <v>29</v>
      </c>
      <c r="F19" s="8" t="s">
        <v>20</v>
      </c>
      <c r="G19" s="11">
        <v>9800000</v>
      </c>
      <c r="H19" s="12">
        <v>4900000</v>
      </c>
      <c r="I19" s="24"/>
      <c r="J19" s="24"/>
      <c r="K19" s="24"/>
      <c r="L19" s="24"/>
      <c r="M19" s="24">
        <f t="shared" si="0"/>
        <v>4900000</v>
      </c>
      <c r="N19" s="63" t="s">
        <v>21</v>
      </c>
      <c r="O19" s="10"/>
    </row>
    <row r="20" spans="1:15" s="1" customFormat="1" ht="20.100000000000001" customHeight="1">
      <c r="A20" s="8">
        <v>15</v>
      </c>
      <c r="B20" s="13"/>
      <c r="C20" s="8"/>
      <c r="D20" s="10" t="s">
        <v>43</v>
      </c>
      <c r="E20" s="13" t="s">
        <v>29</v>
      </c>
      <c r="F20" s="8" t="s">
        <v>20</v>
      </c>
      <c r="G20" s="11">
        <v>9800000</v>
      </c>
      <c r="H20" s="24">
        <v>4900000</v>
      </c>
      <c r="I20" s="24"/>
      <c r="J20" s="24"/>
      <c r="K20" s="24"/>
      <c r="L20" s="24"/>
      <c r="M20" s="24">
        <f t="shared" si="0"/>
        <v>4900000</v>
      </c>
      <c r="N20" s="63" t="s">
        <v>44</v>
      </c>
      <c r="O20" s="10"/>
    </row>
    <row r="21" spans="1:15" s="1" customFormat="1" ht="20.100000000000001" customHeight="1">
      <c r="A21" s="8">
        <v>16</v>
      </c>
      <c r="B21" s="13"/>
      <c r="C21" s="8"/>
      <c r="D21" s="10" t="s">
        <v>45</v>
      </c>
      <c r="E21" s="13" t="s">
        <v>23</v>
      </c>
      <c r="F21" s="13" t="s">
        <v>24</v>
      </c>
      <c r="G21" s="11">
        <v>9800000</v>
      </c>
      <c r="H21" s="12">
        <v>4900000</v>
      </c>
      <c r="I21" s="24"/>
      <c r="J21" s="24"/>
      <c r="K21" s="24"/>
      <c r="L21" s="24"/>
      <c r="M21" s="24">
        <f t="shared" si="0"/>
        <v>4900000</v>
      </c>
      <c r="N21" s="63" t="s">
        <v>46</v>
      </c>
      <c r="O21" s="10"/>
    </row>
    <row r="22" spans="1:15" s="1" customFormat="1" ht="20.100000000000001" customHeight="1">
      <c r="A22" s="8">
        <v>17</v>
      </c>
      <c r="B22" s="25"/>
      <c r="C22" s="26"/>
      <c r="D22" s="27" t="s">
        <v>47</v>
      </c>
      <c r="E22" s="25" t="s">
        <v>23</v>
      </c>
      <c r="F22" s="25" t="s">
        <v>40</v>
      </c>
      <c r="G22" s="28">
        <v>4900000</v>
      </c>
      <c r="H22" s="12">
        <v>1000000</v>
      </c>
      <c r="I22" s="32"/>
      <c r="J22" s="32"/>
      <c r="K22" s="32"/>
      <c r="L22" s="32"/>
      <c r="M22" s="24">
        <f t="shared" si="0"/>
        <v>3900000</v>
      </c>
      <c r="N22" s="66" t="s">
        <v>46</v>
      </c>
      <c r="O22" s="27" t="s">
        <v>48</v>
      </c>
    </row>
    <row r="23" spans="1:15" s="1" customFormat="1" ht="20.100000000000001" customHeight="1">
      <c r="A23" s="8">
        <v>18</v>
      </c>
      <c r="B23" s="13"/>
      <c r="C23" s="8"/>
      <c r="D23" s="10" t="s">
        <v>49</v>
      </c>
      <c r="E23" s="13" t="s">
        <v>29</v>
      </c>
      <c r="F23" s="13" t="s">
        <v>35</v>
      </c>
      <c r="G23" s="11">
        <v>9800000</v>
      </c>
      <c r="H23" s="12">
        <v>5000000</v>
      </c>
      <c r="I23" s="24">
        <v>4800000</v>
      </c>
      <c r="J23" s="24"/>
      <c r="K23" s="24"/>
      <c r="L23" s="24"/>
      <c r="M23" s="24">
        <f t="shared" si="0"/>
        <v>0</v>
      </c>
      <c r="N23" s="63" t="s">
        <v>46</v>
      </c>
      <c r="O23" s="10" t="s">
        <v>38</v>
      </c>
    </row>
    <row r="24" spans="1:15" s="1" customFormat="1" ht="20.100000000000001" customHeight="1">
      <c r="A24" s="8">
        <v>19</v>
      </c>
      <c r="B24" s="25"/>
      <c r="C24" s="26"/>
      <c r="D24" s="27" t="s">
        <v>50</v>
      </c>
      <c r="E24" s="25" t="s">
        <v>23</v>
      </c>
      <c r="F24" s="25" t="s">
        <v>40</v>
      </c>
      <c r="G24" s="28">
        <v>4900000</v>
      </c>
      <c r="H24" s="12">
        <v>1000000</v>
      </c>
      <c r="I24" s="32">
        <v>1000000</v>
      </c>
      <c r="J24" s="32"/>
      <c r="K24" s="32"/>
      <c r="L24" s="32"/>
      <c r="M24" s="24">
        <f t="shared" si="0"/>
        <v>2900000</v>
      </c>
      <c r="N24" s="66" t="s">
        <v>46</v>
      </c>
      <c r="O24" s="27" t="s">
        <v>48</v>
      </c>
    </row>
    <row r="25" spans="1:15" s="1" customFormat="1" ht="20.100000000000001" customHeight="1">
      <c r="A25" s="8">
        <v>20</v>
      </c>
      <c r="B25" s="13"/>
      <c r="C25" s="8"/>
      <c r="D25" s="10" t="s">
        <v>51</v>
      </c>
      <c r="E25" s="13" t="s">
        <v>29</v>
      </c>
      <c r="F25" s="8" t="s">
        <v>20</v>
      </c>
      <c r="G25" s="11">
        <v>9800000</v>
      </c>
      <c r="H25" s="12">
        <v>5000000</v>
      </c>
      <c r="I25" s="24">
        <v>1000000</v>
      </c>
      <c r="J25" s="24">
        <v>2000000</v>
      </c>
      <c r="K25" s="24"/>
      <c r="L25" s="24"/>
      <c r="M25" s="24">
        <f t="shared" si="0"/>
        <v>1800000</v>
      </c>
      <c r="N25" s="63" t="s">
        <v>46</v>
      </c>
      <c r="O25" s="10"/>
    </row>
    <row r="26" spans="1:15" s="1" customFormat="1" ht="20.100000000000001" customHeight="1">
      <c r="A26" s="8">
        <v>21</v>
      </c>
      <c r="B26" s="13"/>
      <c r="C26" s="8"/>
      <c r="D26" s="10" t="s">
        <v>52</v>
      </c>
      <c r="E26" s="13" t="s">
        <v>29</v>
      </c>
      <c r="F26" s="13" t="s">
        <v>35</v>
      </c>
      <c r="G26" s="11">
        <v>9800000</v>
      </c>
      <c r="H26" s="12">
        <v>8000000</v>
      </c>
      <c r="I26" s="24"/>
      <c r="J26" s="24"/>
      <c r="K26" s="24"/>
      <c r="L26" s="24"/>
      <c r="M26" s="24">
        <f t="shared" si="0"/>
        <v>1800000</v>
      </c>
      <c r="N26" s="63" t="s">
        <v>46</v>
      </c>
      <c r="O26" s="10"/>
    </row>
    <row r="27" spans="1:15" s="1" customFormat="1" ht="20.100000000000001" customHeight="1">
      <c r="A27" s="8">
        <v>22</v>
      </c>
      <c r="B27" s="13"/>
      <c r="C27" s="8"/>
      <c r="D27" s="10" t="s">
        <v>53</v>
      </c>
      <c r="E27" s="13" t="s">
        <v>29</v>
      </c>
      <c r="F27" s="8" t="s">
        <v>20</v>
      </c>
      <c r="G27" s="11">
        <v>9800000</v>
      </c>
      <c r="H27" s="12">
        <v>5000000</v>
      </c>
      <c r="I27" s="24">
        <v>4800000</v>
      </c>
      <c r="J27" s="24"/>
      <c r="K27" s="24"/>
      <c r="L27" s="24"/>
      <c r="M27" s="24">
        <f t="shared" si="0"/>
        <v>0</v>
      </c>
      <c r="N27" s="63" t="s">
        <v>46</v>
      </c>
      <c r="O27" s="10" t="s">
        <v>38</v>
      </c>
    </row>
    <row r="28" spans="1:15" s="1" customFormat="1" ht="20.100000000000001" customHeight="1">
      <c r="A28" s="8">
        <v>23</v>
      </c>
      <c r="B28" s="13"/>
      <c r="C28" s="8"/>
      <c r="D28" s="10" t="s">
        <v>55</v>
      </c>
      <c r="E28" s="13" t="s">
        <v>29</v>
      </c>
      <c r="F28" s="13" t="s">
        <v>35</v>
      </c>
      <c r="G28" s="11">
        <v>9800000</v>
      </c>
      <c r="H28" s="12">
        <v>9800000</v>
      </c>
      <c r="I28" s="24"/>
      <c r="J28" s="24"/>
      <c r="K28" s="24"/>
      <c r="L28" s="24"/>
      <c r="M28" s="24">
        <f t="shared" si="0"/>
        <v>0</v>
      </c>
      <c r="N28" s="63" t="s">
        <v>46</v>
      </c>
      <c r="O28" s="10" t="s">
        <v>38</v>
      </c>
    </row>
    <row r="29" spans="1:15" s="1" customFormat="1" ht="20.100000000000001" customHeight="1">
      <c r="A29" s="8">
        <v>24</v>
      </c>
      <c r="B29" s="13"/>
      <c r="C29" s="8"/>
      <c r="D29" s="10" t="s">
        <v>56</v>
      </c>
      <c r="E29" s="13" t="s">
        <v>29</v>
      </c>
      <c r="F29" s="8" t="s">
        <v>20</v>
      </c>
      <c r="G29" s="11">
        <v>9800000</v>
      </c>
      <c r="H29" s="12">
        <v>4900000</v>
      </c>
      <c r="I29" s="24"/>
      <c r="J29" s="24"/>
      <c r="K29" s="24"/>
      <c r="L29" s="24"/>
      <c r="M29" s="24">
        <f t="shared" si="0"/>
        <v>4900000</v>
      </c>
      <c r="N29" s="63" t="s">
        <v>46</v>
      </c>
      <c r="O29" s="10"/>
    </row>
    <row r="30" spans="1:15" s="1" customFormat="1" ht="20.100000000000001" customHeight="1">
      <c r="A30" s="8">
        <v>25</v>
      </c>
      <c r="B30" s="13"/>
      <c r="C30" s="8"/>
      <c r="D30" s="10" t="s">
        <v>57</v>
      </c>
      <c r="E30" s="13" t="s">
        <v>29</v>
      </c>
      <c r="F30" s="8" t="s">
        <v>20</v>
      </c>
      <c r="G30" s="11">
        <v>9800000</v>
      </c>
      <c r="H30" s="12">
        <v>5000000</v>
      </c>
      <c r="I30" s="24">
        <v>4800000</v>
      </c>
      <c r="J30" s="24"/>
      <c r="K30" s="24"/>
      <c r="L30" s="24"/>
      <c r="M30" s="24">
        <f t="shared" si="0"/>
        <v>0</v>
      </c>
      <c r="N30" s="63" t="s">
        <v>46</v>
      </c>
      <c r="O30" s="10" t="s">
        <v>38</v>
      </c>
    </row>
    <row r="31" spans="1:15" s="1" customFormat="1" ht="20.100000000000001" customHeight="1">
      <c r="A31" s="8">
        <v>26</v>
      </c>
      <c r="B31" s="13"/>
      <c r="C31" s="8"/>
      <c r="D31" s="10" t="s">
        <v>58</v>
      </c>
      <c r="E31" s="13" t="s">
        <v>29</v>
      </c>
      <c r="F31" s="8" t="s">
        <v>20</v>
      </c>
      <c r="G31" s="11">
        <v>9800000</v>
      </c>
      <c r="H31" s="12">
        <v>4900000</v>
      </c>
      <c r="I31" s="24">
        <v>4900000</v>
      </c>
      <c r="J31" s="24"/>
      <c r="K31" s="24"/>
      <c r="L31" s="24"/>
      <c r="M31" s="24">
        <f t="shared" si="0"/>
        <v>0</v>
      </c>
      <c r="N31" s="63" t="s">
        <v>46</v>
      </c>
      <c r="O31" s="10" t="s">
        <v>38</v>
      </c>
    </row>
    <row r="32" spans="1:15" s="1" customFormat="1" ht="20.100000000000001" customHeight="1">
      <c r="A32" s="8">
        <v>27</v>
      </c>
      <c r="B32" s="13"/>
      <c r="C32" s="8"/>
      <c r="D32" s="10" t="s">
        <v>59</v>
      </c>
      <c r="E32" s="13" t="s">
        <v>29</v>
      </c>
      <c r="F32" s="13" t="s">
        <v>35</v>
      </c>
      <c r="G32" s="11">
        <v>9800000</v>
      </c>
      <c r="H32" s="12">
        <v>4900000</v>
      </c>
      <c r="I32" s="24"/>
      <c r="J32" s="24"/>
      <c r="K32" s="24"/>
      <c r="L32" s="24"/>
      <c r="M32" s="24">
        <f t="shared" si="0"/>
        <v>4900000</v>
      </c>
      <c r="N32" s="63" t="s">
        <v>46</v>
      </c>
      <c r="O32" s="10"/>
    </row>
    <row r="33" spans="1:15" s="1" customFormat="1" ht="20.100000000000001" customHeight="1">
      <c r="A33" s="8">
        <v>28</v>
      </c>
      <c r="B33" s="25"/>
      <c r="C33" s="26"/>
      <c r="D33" s="27" t="s">
        <v>60</v>
      </c>
      <c r="E33" s="25" t="s">
        <v>23</v>
      </c>
      <c r="F33" s="25" t="s">
        <v>40</v>
      </c>
      <c r="G33" s="28">
        <v>4900000</v>
      </c>
      <c r="H33" s="12">
        <v>1000000</v>
      </c>
      <c r="I33" s="32"/>
      <c r="J33" s="32"/>
      <c r="K33" s="32"/>
      <c r="L33" s="32"/>
      <c r="M33" s="24">
        <f t="shared" si="0"/>
        <v>3900000</v>
      </c>
      <c r="N33" s="66" t="s">
        <v>46</v>
      </c>
      <c r="O33" s="27" t="s">
        <v>48</v>
      </c>
    </row>
    <row r="34" spans="1:15" s="1" customFormat="1" ht="20.100000000000001" customHeight="1">
      <c r="A34" s="8">
        <v>29</v>
      </c>
      <c r="B34" s="13"/>
      <c r="C34" s="8"/>
      <c r="D34" s="10" t="s">
        <v>61</v>
      </c>
      <c r="E34" s="13" t="s">
        <v>23</v>
      </c>
      <c r="F34" s="13" t="s">
        <v>24</v>
      </c>
      <c r="G34" s="11">
        <v>9800000</v>
      </c>
      <c r="H34" s="12">
        <v>4900000</v>
      </c>
      <c r="I34" s="24">
        <v>4900000</v>
      </c>
      <c r="J34" s="24"/>
      <c r="K34" s="24"/>
      <c r="L34" s="24"/>
      <c r="M34" s="24">
        <f t="shared" si="0"/>
        <v>0</v>
      </c>
      <c r="N34" s="24" t="s">
        <v>62</v>
      </c>
      <c r="O34" s="10" t="s">
        <v>38</v>
      </c>
    </row>
    <row r="35" spans="1:15" s="1" customFormat="1" ht="20.100000000000001" customHeight="1">
      <c r="A35" s="8">
        <v>30</v>
      </c>
      <c r="B35" s="13"/>
      <c r="C35" s="8"/>
      <c r="D35" s="18" t="s">
        <v>63</v>
      </c>
      <c r="E35" s="19" t="s">
        <v>23</v>
      </c>
      <c r="F35" s="19" t="s">
        <v>24</v>
      </c>
      <c r="G35" s="20">
        <v>9800000</v>
      </c>
      <c r="H35" s="21">
        <v>9800000</v>
      </c>
      <c r="I35" s="21"/>
      <c r="J35" s="21"/>
      <c r="K35" s="21"/>
      <c r="L35" s="21"/>
      <c r="M35" s="24">
        <f t="shared" si="0"/>
        <v>0</v>
      </c>
      <c r="N35" s="21" t="s">
        <v>62</v>
      </c>
      <c r="O35" s="18" t="s">
        <v>173</v>
      </c>
    </row>
    <row r="36" spans="1:15" s="1" customFormat="1" ht="20.100000000000001" customHeight="1">
      <c r="A36" s="8">
        <v>31</v>
      </c>
      <c r="B36" s="13"/>
      <c r="C36" s="8"/>
      <c r="D36" s="10" t="s">
        <v>64</v>
      </c>
      <c r="E36" s="13" t="s">
        <v>23</v>
      </c>
      <c r="F36" s="13" t="s">
        <v>24</v>
      </c>
      <c r="G36" s="11">
        <v>9800000</v>
      </c>
      <c r="H36" s="12">
        <v>2000000</v>
      </c>
      <c r="I36" s="24">
        <v>3000000</v>
      </c>
      <c r="J36" s="24"/>
      <c r="K36" s="24"/>
      <c r="L36" s="24"/>
      <c r="M36" s="24">
        <f t="shared" si="0"/>
        <v>4800000</v>
      </c>
      <c r="N36" s="24" t="s">
        <v>62</v>
      </c>
      <c r="O36" s="10"/>
    </row>
    <row r="37" spans="1:15" s="1" customFormat="1" ht="31.5" customHeight="1">
      <c r="A37" s="8">
        <v>32</v>
      </c>
      <c r="B37" s="13"/>
      <c r="C37" s="8"/>
      <c r="D37" s="10" t="s">
        <v>65</v>
      </c>
      <c r="E37" s="13" t="s">
        <v>23</v>
      </c>
      <c r="F37" s="13" t="s">
        <v>24</v>
      </c>
      <c r="G37" s="11">
        <v>9800000</v>
      </c>
      <c r="H37" s="12">
        <v>5000000</v>
      </c>
      <c r="I37" s="24"/>
      <c r="J37" s="24"/>
      <c r="K37" s="24"/>
      <c r="L37" s="24"/>
      <c r="M37" s="24">
        <f t="shared" si="0"/>
        <v>4800000</v>
      </c>
      <c r="N37" s="24" t="s">
        <v>62</v>
      </c>
      <c r="O37" s="10"/>
    </row>
    <row r="38" spans="1:15" s="1" customFormat="1" ht="31.5" customHeight="1">
      <c r="A38" s="8">
        <v>33</v>
      </c>
      <c r="B38" s="13"/>
      <c r="C38" s="8"/>
      <c r="D38" s="10" t="s">
        <v>66</v>
      </c>
      <c r="E38" s="13" t="s">
        <v>23</v>
      </c>
      <c r="F38" s="13" t="s">
        <v>24</v>
      </c>
      <c r="G38" s="11">
        <v>9800000</v>
      </c>
      <c r="H38" s="12">
        <v>4900000</v>
      </c>
      <c r="I38" s="24"/>
      <c r="J38" s="24"/>
      <c r="K38" s="24"/>
      <c r="L38" s="24"/>
      <c r="M38" s="24">
        <f t="shared" si="0"/>
        <v>4900000</v>
      </c>
      <c r="N38" s="24" t="s">
        <v>67</v>
      </c>
      <c r="O38" s="10"/>
    </row>
    <row r="39" spans="1:15" s="1" customFormat="1" ht="20.100000000000001" customHeight="1">
      <c r="A39" s="8">
        <v>34</v>
      </c>
      <c r="B39" s="13"/>
      <c r="C39" s="8"/>
      <c r="D39" s="10" t="s">
        <v>70</v>
      </c>
      <c r="E39" s="13" t="s">
        <v>29</v>
      </c>
      <c r="F39" s="8" t="s">
        <v>20</v>
      </c>
      <c r="G39" s="11">
        <v>9800000</v>
      </c>
      <c r="H39" s="12">
        <v>4900000</v>
      </c>
      <c r="I39" s="24"/>
      <c r="J39" s="24"/>
      <c r="K39" s="24"/>
      <c r="L39" s="24"/>
      <c r="M39" s="24">
        <f t="shared" ref="M39:M70" si="1">G39-H39-I39-J39-K39-L39</f>
        <v>4900000</v>
      </c>
      <c r="N39" s="24" t="s">
        <v>67</v>
      </c>
      <c r="O39" s="10"/>
    </row>
    <row r="40" spans="1:15" s="1" customFormat="1" ht="20.100000000000001" customHeight="1">
      <c r="A40" s="8">
        <v>35</v>
      </c>
      <c r="B40" s="13"/>
      <c r="C40" s="8"/>
      <c r="D40" s="10" t="s">
        <v>71</v>
      </c>
      <c r="E40" s="13" t="s">
        <v>29</v>
      </c>
      <c r="F40" s="8" t="s">
        <v>20</v>
      </c>
      <c r="G40" s="11">
        <v>9800000</v>
      </c>
      <c r="H40" s="12">
        <v>4900000</v>
      </c>
      <c r="I40" s="24"/>
      <c r="J40" s="24"/>
      <c r="K40" s="24"/>
      <c r="L40" s="24"/>
      <c r="M40" s="24">
        <f t="shared" si="1"/>
        <v>4900000</v>
      </c>
      <c r="N40" s="24" t="s">
        <v>72</v>
      </c>
      <c r="O40" s="10"/>
    </row>
    <row r="41" spans="1:15" s="1" customFormat="1" ht="20.100000000000001" customHeight="1">
      <c r="A41" s="8">
        <v>36</v>
      </c>
      <c r="B41" s="13"/>
      <c r="C41" s="8"/>
      <c r="D41" s="10" t="s">
        <v>73</v>
      </c>
      <c r="E41" s="13" t="s">
        <v>29</v>
      </c>
      <c r="F41" s="8" t="s">
        <v>20</v>
      </c>
      <c r="G41" s="11">
        <v>9800000</v>
      </c>
      <c r="H41" s="12">
        <v>5000000</v>
      </c>
      <c r="I41" s="24"/>
      <c r="J41" s="24"/>
      <c r="K41" s="24"/>
      <c r="L41" s="24"/>
      <c r="M41" s="24">
        <f t="shared" si="1"/>
        <v>4800000</v>
      </c>
      <c r="N41" s="24" t="s">
        <v>72</v>
      </c>
      <c r="O41" s="10"/>
    </row>
    <row r="42" spans="1:15" s="1" customFormat="1" ht="20.100000000000001" customHeight="1">
      <c r="A42" s="8">
        <v>37</v>
      </c>
      <c r="B42" s="13"/>
      <c r="C42" s="8"/>
      <c r="D42" s="10" t="s">
        <v>74</v>
      </c>
      <c r="E42" s="13" t="s">
        <v>23</v>
      </c>
      <c r="F42" s="13" t="s">
        <v>40</v>
      </c>
      <c r="G42" s="11">
        <v>9800000</v>
      </c>
      <c r="H42" s="24">
        <v>3800000</v>
      </c>
      <c r="I42" s="24"/>
      <c r="J42" s="24"/>
      <c r="K42" s="24"/>
      <c r="L42" s="24"/>
      <c r="M42" s="24">
        <f t="shared" si="1"/>
        <v>6000000</v>
      </c>
      <c r="N42" s="24" t="s">
        <v>72</v>
      </c>
      <c r="O42" s="10"/>
    </row>
    <row r="43" spans="1:15" s="1" customFormat="1" ht="20.100000000000001" customHeight="1">
      <c r="A43" s="8">
        <v>38</v>
      </c>
      <c r="B43" s="13"/>
      <c r="C43" s="8"/>
      <c r="D43" s="10" t="s">
        <v>75</v>
      </c>
      <c r="E43" s="13" t="s">
        <v>29</v>
      </c>
      <c r="F43" s="13" t="s">
        <v>35</v>
      </c>
      <c r="G43" s="11">
        <v>9800000</v>
      </c>
      <c r="H43" s="12">
        <v>5000000</v>
      </c>
      <c r="I43" s="24"/>
      <c r="J43" s="24"/>
      <c r="K43" s="24"/>
      <c r="L43" s="24"/>
      <c r="M43" s="24">
        <f t="shared" si="1"/>
        <v>4800000</v>
      </c>
      <c r="N43" s="24" t="s">
        <v>72</v>
      </c>
      <c r="O43" s="10"/>
    </row>
    <row r="44" spans="1:15" s="1" customFormat="1" ht="20.100000000000001" customHeight="1">
      <c r="A44" s="8">
        <v>39</v>
      </c>
      <c r="B44" s="13"/>
      <c r="C44" s="8"/>
      <c r="D44" s="10" t="s">
        <v>76</v>
      </c>
      <c r="E44" s="13" t="s">
        <v>29</v>
      </c>
      <c r="F44" s="8" t="s">
        <v>20</v>
      </c>
      <c r="G44" s="11">
        <v>9800000</v>
      </c>
      <c r="H44" s="24">
        <v>5000000</v>
      </c>
      <c r="I44" s="24"/>
      <c r="J44" s="24"/>
      <c r="K44" s="24"/>
      <c r="L44" s="24"/>
      <c r="M44" s="24">
        <f t="shared" si="1"/>
        <v>4800000</v>
      </c>
      <c r="N44" s="24" t="s">
        <v>72</v>
      </c>
      <c r="O44" s="10"/>
    </row>
    <row r="45" spans="1:15" s="1" customFormat="1" ht="20.100000000000001" customHeight="1">
      <c r="A45" s="8">
        <v>40</v>
      </c>
      <c r="B45" s="13"/>
      <c r="C45" s="8"/>
      <c r="D45" s="10" t="s">
        <v>77</v>
      </c>
      <c r="E45" s="13" t="s">
        <v>29</v>
      </c>
      <c r="F45" s="8" t="s">
        <v>20</v>
      </c>
      <c r="G45" s="11">
        <v>9800000</v>
      </c>
      <c r="H45" s="12">
        <v>5000000</v>
      </c>
      <c r="I45" s="24"/>
      <c r="J45" s="24"/>
      <c r="K45" s="24"/>
      <c r="L45" s="24"/>
      <c r="M45" s="24">
        <f t="shared" si="1"/>
        <v>4800000</v>
      </c>
      <c r="N45" s="24" t="s">
        <v>78</v>
      </c>
      <c r="O45" s="10"/>
    </row>
    <row r="46" spans="1:15" s="1" customFormat="1" ht="20.100000000000001" customHeight="1">
      <c r="A46" s="8">
        <v>41</v>
      </c>
      <c r="B46" s="13"/>
      <c r="C46" s="8"/>
      <c r="D46" s="16" t="s">
        <v>79</v>
      </c>
      <c r="E46" s="14" t="s">
        <v>23</v>
      </c>
      <c r="F46" s="14" t="s">
        <v>24</v>
      </c>
      <c r="G46" s="17"/>
      <c r="H46" s="12"/>
      <c r="I46" s="12"/>
      <c r="J46" s="12"/>
      <c r="K46" s="12"/>
      <c r="L46" s="12"/>
      <c r="M46" s="24">
        <f t="shared" si="1"/>
        <v>0</v>
      </c>
      <c r="N46" s="12" t="s">
        <v>78</v>
      </c>
      <c r="O46" s="16" t="s">
        <v>27</v>
      </c>
    </row>
    <row r="47" spans="1:15" s="1" customFormat="1" ht="20.100000000000001" customHeight="1">
      <c r="A47" s="8">
        <v>42</v>
      </c>
      <c r="B47" s="13"/>
      <c r="C47" s="8"/>
      <c r="D47" s="16" t="s">
        <v>80</v>
      </c>
      <c r="E47" s="14" t="s">
        <v>23</v>
      </c>
      <c r="F47" s="14" t="s">
        <v>24</v>
      </c>
      <c r="G47" s="17"/>
      <c r="H47" s="12"/>
      <c r="I47" s="12"/>
      <c r="J47" s="12"/>
      <c r="K47" s="12"/>
      <c r="L47" s="12"/>
      <c r="M47" s="24">
        <f t="shared" si="1"/>
        <v>0</v>
      </c>
      <c r="N47" s="12" t="s">
        <v>78</v>
      </c>
      <c r="O47" s="16" t="s">
        <v>27</v>
      </c>
    </row>
    <row r="48" spans="1:15" s="1" customFormat="1" ht="20.100000000000001" customHeight="1">
      <c r="A48" s="15">
        <v>43</v>
      </c>
      <c r="B48" s="25"/>
      <c r="C48" s="26"/>
      <c r="D48" s="16" t="s">
        <v>81</v>
      </c>
      <c r="E48" s="14" t="s">
        <v>23</v>
      </c>
      <c r="F48" s="14" t="s">
        <v>40</v>
      </c>
      <c r="G48" s="17"/>
      <c r="H48" s="12"/>
      <c r="I48" s="12"/>
      <c r="J48" s="12"/>
      <c r="K48" s="12"/>
      <c r="L48" s="12"/>
      <c r="M48" s="24">
        <f t="shared" si="1"/>
        <v>0</v>
      </c>
      <c r="N48" s="12" t="s">
        <v>78</v>
      </c>
      <c r="O48" s="16" t="s">
        <v>27</v>
      </c>
    </row>
    <row r="49" spans="1:15" s="1" customFormat="1" ht="20.100000000000001" customHeight="1">
      <c r="A49" s="8">
        <v>44</v>
      </c>
      <c r="B49" s="14"/>
      <c r="C49" s="15"/>
      <c r="D49" s="16" t="s">
        <v>82</v>
      </c>
      <c r="E49" s="14" t="s">
        <v>23</v>
      </c>
      <c r="F49" s="14" t="s">
        <v>40</v>
      </c>
      <c r="G49" s="17"/>
      <c r="H49" s="12"/>
      <c r="I49" s="12"/>
      <c r="J49" s="12"/>
      <c r="K49" s="12"/>
      <c r="L49" s="12"/>
      <c r="M49" s="24">
        <f t="shared" si="1"/>
        <v>0</v>
      </c>
      <c r="N49" s="12" t="s">
        <v>78</v>
      </c>
      <c r="O49" s="16" t="s">
        <v>27</v>
      </c>
    </row>
    <row r="50" spans="1:15" s="1" customFormat="1" ht="20.100000000000001" customHeight="1">
      <c r="A50" s="8">
        <v>45</v>
      </c>
      <c r="B50" s="13"/>
      <c r="C50" s="8"/>
      <c r="D50" s="10" t="s">
        <v>83</v>
      </c>
      <c r="E50" s="13" t="s">
        <v>29</v>
      </c>
      <c r="F50" s="8" t="s">
        <v>20</v>
      </c>
      <c r="G50" s="11">
        <v>9800000</v>
      </c>
      <c r="H50" s="12">
        <v>5000000</v>
      </c>
      <c r="I50" s="24"/>
      <c r="J50" s="24"/>
      <c r="K50" s="24"/>
      <c r="L50" s="24"/>
      <c r="M50" s="24">
        <f t="shared" si="1"/>
        <v>4800000</v>
      </c>
      <c r="N50" s="24" t="s">
        <v>78</v>
      </c>
      <c r="O50" s="10"/>
    </row>
    <row r="51" spans="1:15" s="1" customFormat="1" ht="20.100000000000001" customHeight="1">
      <c r="A51" s="8">
        <v>46</v>
      </c>
      <c r="B51" s="13"/>
      <c r="C51" s="8"/>
      <c r="D51" s="10" t="s">
        <v>84</v>
      </c>
      <c r="E51" s="13" t="s">
        <v>23</v>
      </c>
      <c r="F51" s="13" t="s">
        <v>24</v>
      </c>
      <c r="G51" s="11">
        <v>9800000</v>
      </c>
      <c r="H51" s="12">
        <v>5000000</v>
      </c>
      <c r="I51" s="24"/>
      <c r="J51" s="24"/>
      <c r="K51" s="24"/>
      <c r="L51" s="24"/>
      <c r="M51" s="24">
        <f t="shared" si="1"/>
        <v>4800000</v>
      </c>
      <c r="N51" s="24" t="s">
        <v>78</v>
      </c>
      <c r="O51" s="10"/>
    </row>
    <row r="52" spans="1:15" s="1" customFormat="1" ht="20.100000000000001" customHeight="1">
      <c r="A52" s="8">
        <v>47</v>
      </c>
      <c r="B52" s="13"/>
      <c r="C52" s="8"/>
      <c r="D52" s="10" t="s">
        <v>85</v>
      </c>
      <c r="E52" s="13" t="s">
        <v>23</v>
      </c>
      <c r="F52" s="13" t="s">
        <v>24</v>
      </c>
      <c r="G52" s="11">
        <v>9800000</v>
      </c>
      <c r="H52" s="12">
        <v>5000000</v>
      </c>
      <c r="I52" s="24"/>
      <c r="J52" s="24"/>
      <c r="K52" s="24"/>
      <c r="L52" s="24"/>
      <c r="M52" s="24">
        <f t="shared" si="1"/>
        <v>4800000</v>
      </c>
      <c r="N52" s="24" t="s">
        <v>78</v>
      </c>
      <c r="O52" s="10"/>
    </row>
    <row r="53" spans="1:15" s="1" customFormat="1" ht="20.100000000000001" customHeight="1">
      <c r="A53" s="8">
        <v>48</v>
      </c>
      <c r="B53" s="13"/>
      <c r="C53" s="8"/>
      <c r="D53" s="10" t="s">
        <v>86</v>
      </c>
      <c r="E53" s="13" t="s">
        <v>29</v>
      </c>
      <c r="F53" s="13" t="s">
        <v>35</v>
      </c>
      <c r="G53" s="11">
        <v>9800000</v>
      </c>
      <c r="H53" s="24">
        <v>4900000</v>
      </c>
      <c r="I53" s="24">
        <v>4900000</v>
      </c>
      <c r="J53" s="24"/>
      <c r="K53" s="24"/>
      <c r="L53" s="24"/>
      <c r="M53" s="24">
        <f t="shared" si="1"/>
        <v>0</v>
      </c>
      <c r="N53" s="24" t="s">
        <v>87</v>
      </c>
      <c r="O53" s="10" t="s">
        <v>38</v>
      </c>
    </row>
    <row r="54" spans="1:15" s="1" customFormat="1" ht="20.100000000000001" customHeight="1">
      <c r="A54" s="8">
        <v>49</v>
      </c>
      <c r="B54" s="13"/>
      <c r="C54" s="8"/>
      <c r="D54" s="10" t="s">
        <v>88</v>
      </c>
      <c r="E54" s="13" t="s">
        <v>23</v>
      </c>
      <c r="F54" s="13" t="s">
        <v>24</v>
      </c>
      <c r="G54" s="11">
        <v>9800000</v>
      </c>
      <c r="H54" s="24">
        <v>5000000</v>
      </c>
      <c r="I54" s="24"/>
      <c r="J54" s="24"/>
      <c r="K54" s="24"/>
      <c r="L54" s="24"/>
      <c r="M54" s="24">
        <f t="shared" si="1"/>
        <v>4800000</v>
      </c>
      <c r="N54" s="24" t="s">
        <v>87</v>
      </c>
      <c r="O54" s="10"/>
    </row>
    <row r="55" spans="1:15" s="1" customFormat="1" ht="20.100000000000001" customHeight="1">
      <c r="A55" s="8">
        <v>50</v>
      </c>
      <c r="B55" s="13"/>
      <c r="C55" s="8"/>
      <c r="D55" s="10" t="s">
        <v>89</v>
      </c>
      <c r="E55" s="13" t="s">
        <v>29</v>
      </c>
      <c r="F55" s="13" t="s">
        <v>20</v>
      </c>
      <c r="G55" s="11">
        <v>9800000</v>
      </c>
      <c r="H55" s="24">
        <v>4900000</v>
      </c>
      <c r="I55" s="24">
        <v>4900000</v>
      </c>
      <c r="J55" s="24"/>
      <c r="K55" s="24"/>
      <c r="L55" s="24"/>
      <c r="M55" s="24">
        <f t="shared" si="1"/>
        <v>0</v>
      </c>
      <c r="N55" s="24" t="s">
        <v>90</v>
      </c>
      <c r="O55" s="10" t="s">
        <v>38</v>
      </c>
    </row>
    <row r="56" spans="1:15" s="1" customFormat="1" ht="20.100000000000001" customHeight="1">
      <c r="A56" s="8">
        <v>51</v>
      </c>
      <c r="B56" s="13"/>
      <c r="C56" s="8"/>
      <c r="D56" s="10" t="s">
        <v>91</v>
      </c>
      <c r="E56" s="13" t="s">
        <v>23</v>
      </c>
      <c r="F56" s="13" t="s">
        <v>24</v>
      </c>
      <c r="G56" s="11">
        <v>9800000</v>
      </c>
      <c r="H56" s="24">
        <v>5000000</v>
      </c>
      <c r="I56" s="24"/>
      <c r="J56" s="24"/>
      <c r="K56" s="24"/>
      <c r="L56" s="24"/>
      <c r="M56" s="24">
        <f t="shared" si="1"/>
        <v>4800000</v>
      </c>
      <c r="N56" s="24" t="s">
        <v>90</v>
      </c>
      <c r="O56" s="10"/>
    </row>
    <row r="57" spans="1:15" s="1" customFormat="1" ht="20.100000000000001" customHeight="1">
      <c r="A57" s="8">
        <v>52</v>
      </c>
      <c r="B57" s="13"/>
      <c r="C57" s="8"/>
      <c r="D57" s="10" t="s">
        <v>92</v>
      </c>
      <c r="E57" s="13" t="s">
        <v>29</v>
      </c>
      <c r="F57" s="13" t="s">
        <v>20</v>
      </c>
      <c r="G57" s="11">
        <v>9800000</v>
      </c>
      <c r="H57" s="24">
        <v>4500000</v>
      </c>
      <c r="I57" s="24">
        <v>400000</v>
      </c>
      <c r="J57" s="24">
        <v>3000000</v>
      </c>
      <c r="K57" s="24">
        <v>950000</v>
      </c>
      <c r="L57" s="24"/>
      <c r="M57" s="24">
        <f t="shared" si="1"/>
        <v>950000</v>
      </c>
      <c r="N57" s="24" t="s">
        <v>90</v>
      </c>
      <c r="O57" s="10"/>
    </row>
    <row r="58" spans="1:15" s="1" customFormat="1" ht="20.100000000000001" customHeight="1">
      <c r="A58" s="8">
        <v>53</v>
      </c>
      <c r="B58" s="13"/>
      <c r="C58" s="8"/>
      <c r="D58" s="10" t="s">
        <v>93</v>
      </c>
      <c r="E58" s="13" t="s">
        <v>29</v>
      </c>
      <c r="F58" s="13" t="s">
        <v>20</v>
      </c>
      <c r="G58" s="11">
        <v>9800000</v>
      </c>
      <c r="H58" s="24">
        <v>5000000</v>
      </c>
      <c r="I58" s="24">
        <v>4800000</v>
      </c>
      <c r="J58" s="24"/>
      <c r="K58" s="24"/>
      <c r="L58" s="24"/>
      <c r="M58" s="24">
        <f t="shared" si="1"/>
        <v>0</v>
      </c>
      <c r="N58" s="24" t="s">
        <v>90</v>
      </c>
      <c r="O58" s="10" t="s">
        <v>38</v>
      </c>
    </row>
    <row r="59" spans="1:15" s="1" customFormat="1" ht="20.100000000000001" customHeight="1">
      <c r="A59" s="8">
        <v>54</v>
      </c>
      <c r="B59" s="13"/>
      <c r="C59" s="8"/>
      <c r="D59" s="10" t="s">
        <v>94</v>
      </c>
      <c r="E59" s="13" t="s">
        <v>29</v>
      </c>
      <c r="F59" s="13" t="s">
        <v>35</v>
      </c>
      <c r="G59" s="11">
        <v>9800000</v>
      </c>
      <c r="H59" s="24">
        <v>4900000</v>
      </c>
      <c r="I59" s="24"/>
      <c r="J59" s="24"/>
      <c r="K59" s="24"/>
      <c r="L59" s="24"/>
      <c r="M59" s="24">
        <f t="shared" si="1"/>
        <v>4900000</v>
      </c>
      <c r="N59" s="24" t="s">
        <v>90</v>
      </c>
      <c r="O59" s="10"/>
    </row>
    <row r="60" spans="1:15" s="1" customFormat="1" ht="20.100000000000001" customHeight="1">
      <c r="A60" s="8">
        <v>55</v>
      </c>
      <c r="B60" s="13"/>
      <c r="C60" s="8"/>
      <c r="D60" s="10" t="s">
        <v>95</v>
      </c>
      <c r="E60" s="13" t="s">
        <v>29</v>
      </c>
      <c r="F60" s="13" t="s">
        <v>35</v>
      </c>
      <c r="G60" s="11">
        <v>9800000</v>
      </c>
      <c r="H60" s="24">
        <v>4900000</v>
      </c>
      <c r="I60" s="24"/>
      <c r="J60" s="24"/>
      <c r="K60" s="24"/>
      <c r="L60" s="24"/>
      <c r="M60" s="24">
        <f t="shared" si="1"/>
        <v>4900000</v>
      </c>
      <c r="N60" s="24" t="s">
        <v>90</v>
      </c>
      <c r="O60" s="10"/>
    </row>
    <row r="61" spans="1:15" s="1" customFormat="1" ht="31.5">
      <c r="A61" s="8">
        <v>56</v>
      </c>
      <c r="B61" s="13"/>
      <c r="C61" s="8"/>
      <c r="D61" s="10" t="s">
        <v>98</v>
      </c>
      <c r="E61" s="13" t="s">
        <v>29</v>
      </c>
      <c r="F61" s="13" t="s">
        <v>20</v>
      </c>
      <c r="G61" s="11">
        <v>9800000</v>
      </c>
      <c r="H61" s="24">
        <v>4900000</v>
      </c>
      <c r="I61" s="24">
        <v>2500000</v>
      </c>
      <c r="J61" s="24"/>
      <c r="K61" s="24"/>
      <c r="L61" s="24"/>
      <c r="M61" s="24">
        <f t="shared" si="1"/>
        <v>2400000</v>
      </c>
      <c r="N61" s="24" t="s">
        <v>90</v>
      </c>
      <c r="O61" s="10"/>
    </row>
    <row r="62" spans="1:15" s="1" customFormat="1" ht="20.100000000000001" customHeight="1">
      <c r="A62" s="8">
        <v>57</v>
      </c>
      <c r="B62" s="13"/>
      <c r="C62" s="8"/>
      <c r="D62" s="10" t="s">
        <v>99</v>
      </c>
      <c r="E62" s="13" t="s">
        <v>29</v>
      </c>
      <c r="F62" s="13" t="s">
        <v>20</v>
      </c>
      <c r="G62" s="11">
        <v>9800000</v>
      </c>
      <c r="H62" s="24">
        <v>5000000</v>
      </c>
      <c r="I62" s="24"/>
      <c r="J62" s="24"/>
      <c r="K62" s="24"/>
      <c r="L62" s="24"/>
      <c r="M62" s="24">
        <f t="shared" si="1"/>
        <v>4800000</v>
      </c>
      <c r="N62" s="24" t="s">
        <v>90</v>
      </c>
      <c r="O62" s="10"/>
    </row>
    <row r="63" spans="1:15" s="1" customFormat="1" ht="20.100000000000001" customHeight="1">
      <c r="A63" s="8">
        <v>58</v>
      </c>
      <c r="B63" s="13"/>
      <c r="C63" s="8"/>
      <c r="D63" s="10" t="s">
        <v>100</v>
      </c>
      <c r="E63" s="13" t="s">
        <v>29</v>
      </c>
      <c r="F63" s="13" t="s">
        <v>20</v>
      </c>
      <c r="G63" s="11">
        <v>9800000</v>
      </c>
      <c r="H63" s="24">
        <v>5000000</v>
      </c>
      <c r="I63" s="24"/>
      <c r="J63" s="24"/>
      <c r="K63" s="24"/>
      <c r="L63" s="24"/>
      <c r="M63" s="24">
        <f t="shared" si="1"/>
        <v>4800000</v>
      </c>
      <c r="N63" s="24" t="s">
        <v>90</v>
      </c>
      <c r="O63" s="10"/>
    </row>
    <row r="64" spans="1:15" s="1" customFormat="1" ht="20.100000000000001" customHeight="1">
      <c r="A64" s="8">
        <v>59</v>
      </c>
      <c r="B64" s="13"/>
      <c r="C64" s="8"/>
      <c r="D64" s="10" t="s">
        <v>101</v>
      </c>
      <c r="E64" s="13" t="s">
        <v>29</v>
      </c>
      <c r="F64" s="13" t="s">
        <v>20</v>
      </c>
      <c r="G64" s="11">
        <v>9800000</v>
      </c>
      <c r="H64" s="24">
        <v>9800000</v>
      </c>
      <c r="I64" s="24"/>
      <c r="J64" s="24"/>
      <c r="K64" s="24"/>
      <c r="L64" s="24"/>
      <c r="M64" s="24">
        <f t="shared" si="1"/>
        <v>0</v>
      </c>
      <c r="N64" s="33">
        <v>45972</v>
      </c>
      <c r="O64" s="10" t="s">
        <v>38</v>
      </c>
    </row>
    <row r="65" spans="1:15" s="1" customFormat="1" ht="20.100000000000001" customHeight="1">
      <c r="A65" s="8">
        <v>60</v>
      </c>
      <c r="B65" s="13"/>
      <c r="C65" s="8"/>
      <c r="D65" s="10" t="s">
        <v>103</v>
      </c>
      <c r="E65" s="13" t="s">
        <v>23</v>
      </c>
      <c r="F65" s="13" t="s">
        <v>24</v>
      </c>
      <c r="G65" s="11">
        <v>9800000</v>
      </c>
      <c r="H65" s="24">
        <v>5000000</v>
      </c>
      <c r="I65" s="24"/>
      <c r="J65" s="24"/>
      <c r="K65" s="24"/>
      <c r="L65" s="24"/>
      <c r="M65" s="24">
        <f t="shared" si="1"/>
        <v>4800000</v>
      </c>
      <c r="N65" s="33">
        <v>45972</v>
      </c>
      <c r="O65" s="10"/>
    </row>
    <row r="66" spans="1:15" s="1" customFormat="1">
      <c r="A66" s="23">
        <v>61</v>
      </c>
      <c r="B66" s="13"/>
      <c r="C66" s="8"/>
      <c r="D66" s="34" t="s">
        <v>104</v>
      </c>
      <c r="E66" s="22" t="s">
        <v>23</v>
      </c>
      <c r="F66" s="22"/>
      <c r="G66" s="35">
        <v>9800000</v>
      </c>
      <c r="H66" s="36">
        <v>1000000</v>
      </c>
      <c r="I66" s="36"/>
      <c r="J66" s="36"/>
      <c r="K66" s="36"/>
      <c r="L66" s="36"/>
      <c r="M66" s="24">
        <f t="shared" si="1"/>
        <v>8800000</v>
      </c>
      <c r="N66" s="53">
        <v>45972</v>
      </c>
      <c r="O66" s="34"/>
    </row>
    <row r="67" spans="1:15" s="1" customFormat="1">
      <c r="A67" s="23">
        <v>62</v>
      </c>
      <c r="B67" s="22"/>
      <c r="C67" s="23"/>
      <c r="D67" s="34" t="s">
        <v>106</v>
      </c>
      <c r="E67" s="22" t="s">
        <v>23</v>
      </c>
      <c r="F67" s="22"/>
      <c r="G67" s="35">
        <v>9800000</v>
      </c>
      <c r="H67" s="36">
        <v>500000</v>
      </c>
      <c r="I67" s="36"/>
      <c r="J67" s="36"/>
      <c r="K67" s="36"/>
      <c r="L67" s="36"/>
      <c r="M67" s="24">
        <f t="shared" si="1"/>
        <v>9300000</v>
      </c>
      <c r="N67" s="53">
        <v>45972</v>
      </c>
      <c r="O67" s="34"/>
    </row>
    <row r="68" spans="1:15" s="1" customFormat="1" ht="20.100000000000001" customHeight="1">
      <c r="A68" s="8">
        <v>63</v>
      </c>
      <c r="B68" s="13"/>
      <c r="C68" s="8"/>
      <c r="D68" s="10" t="s">
        <v>107</v>
      </c>
      <c r="E68" s="13" t="s">
        <v>29</v>
      </c>
      <c r="F68" s="13" t="s">
        <v>35</v>
      </c>
      <c r="G68" s="11">
        <v>9800000</v>
      </c>
      <c r="H68" s="24">
        <v>3000000</v>
      </c>
      <c r="I68" s="24">
        <v>6800000</v>
      </c>
      <c r="J68" s="24"/>
      <c r="K68" s="24"/>
      <c r="L68" s="24"/>
      <c r="M68" s="24">
        <f t="shared" si="1"/>
        <v>0</v>
      </c>
      <c r="N68" s="33">
        <v>45972</v>
      </c>
      <c r="O68" s="10"/>
    </row>
    <row r="69" spans="1:15" s="1" customFormat="1" ht="20.100000000000001" customHeight="1">
      <c r="A69" s="8">
        <v>64</v>
      </c>
      <c r="B69" s="13"/>
      <c r="C69" s="8"/>
      <c r="D69" s="10" t="s">
        <v>108</v>
      </c>
      <c r="E69" s="13" t="s">
        <v>29</v>
      </c>
      <c r="F69" s="13" t="s">
        <v>35</v>
      </c>
      <c r="G69" s="11">
        <v>9800000</v>
      </c>
      <c r="H69" s="24">
        <v>5000000</v>
      </c>
      <c r="I69" s="24"/>
      <c r="J69" s="24"/>
      <c r="K69" s="24"/>
      <c r="L69" s="24"/>
      <c r="M69" s="24">
        <f t="shared" si="1"/>
        <v>4800000</v>
      </c>
      <c r="N69" s="33">
        <v>45972</v>
      </c>
      <c r="O69" s="10"/>
    </row>
    <row r="70" spans="1:15" s="1" customFormat="1">
      <c r="A70" s="37">
        <v>65</v>
      </c>
      <c r="B70" s="13"/>
      <c r="C70" s="8"/>
      <c r="D70" s="10" t="s">
        <v>109</v>
      </c>
      <c r="E70" s="13" t="s">
        <v>29</v>
      </c>
      <c r="F70" s="13" t="s">
        <v>35</v>
      </c>
      <c r="G70" s="11">
        <v>9800000</v>
      </c>
      <c r="H70" s="24">
        <v>5000000</v>
      </c>
      <c r="I70" s="24"/>
      <c r="J70" s="24"/>
      <c r="K70" s="24"/>
      <c r="L70" s="24"/>
      <c r="M70" s="24">
        <f t="shared" si="1"/>
        <v>4800000</v>
      </c>
      <c r="N70" s="33">
        <v>45972</v>
      </c>
      <c r="O70" s="10"/>
    </row>
    <row r="71" spans="1:15" s="1" customFormat="1" ht="20.100000000000001" customHeight="1">
      <c r="A71" s="8">
        <v>66</v>
      </c>
      <c r="B71" s="13"/>
      <c r="C71" s="8"/>
      <c r="D71" s="18" t="s">
        <v>111</v>
      </c>
      <c r="E71" s="19" t="s">
        <v>29</v>
      </c>
      <c r="F71" s="19" t="s">
        <v>20</v>
      </c>
      <c r="G71" s="20">
        <v>9800000</v>
      </c>
      <c r="H71" s="21">
        <v>9800000</v>
      </c>
      <c r="I71" s="21"/>
      <c r="J71" s="21"/>
      <c r="K71" s="21"/>
      <c r="L71" s="21"/>
      <c r="M71" s="24">
        <f t="shared" ref="M71:M102" si="2">G71-H71-I71-J71-K71-L71</f>
        <v>0</v>
      </c>
      <c r="N71" s="54">
        <v>45974</v>
      </c>
      <c r="O71" s="18" t="s">
        <v>173</v>
      </c>
    </row>
    <row r="72" spans="1:15" s="1" customFormat="1" ht="20.100000000000001" customHeight="1">
      <c r="A72" s="8">
        <v>67</v>
      </c>
      <c r="B72" s="13"/>
      <c r="C72" s="8"/>
      <c r="D72" s="10" t="s">
        <v>112</v>
      </c>
      <c r="E72" s="13" t="s">
        <v>29</v>
      </c>
      <c r="F72" s="13" t="s">
        <v>20</v>
      </c>
      <c r="G72" s="11">
        <v>9800000</v>
      </c>
      <c r="H72" s="24">
        <v>3000000</v>
      </c>
      <c r="I72" s="24"/>
      <c r="J72" s="24"/>
      <c r="K72" s="24"/>
      <c r="L72" s="24"/>
      <c r="M72" s="24">
        <f t="shared" si="2"/>
        <v>6800000</v>
      </c>
      <c r="N72" s="33">
        <v>45974</v>
      </c>
      <c r="O72" s="10"/>
    </row>
    <row r="73" spans="1:15" s="1" customFormat="1" ht="20.100000000000001" customHeight="1">
      <c r="A73" s="8">
        <v>68</v>
      </c>
      <c r="B73" s="13"/>
      <c r="C73" s="8"/>
      <c r="D73" s="18" t="s">
        <v>113</v>
      </c>
      <c r="E73" s="19" t="s">
        <v>29</v>
      </c>
      <c r="F73" s="19" t="s">
        <v>35</v>
      </c>
      <c r="G73" s="20">
        <v>9800000</v>
      </c>
      <c r="H73" s="21">
        <v>9800000</v>
      </c>
      <c r="I73" s="21"/>
      <c r="J73" s="21"/>
      <c r="K73" s="21"/>
      <c r="L73" s="21"/>
      <c r="M73" s="24">
        <f t="shared" si="2"/>
        <v>0</v>
      </c>
      <c r="N73" s="54">
        <v>45974</v>
      </c>
      <c r="O73" s="18" t="s">
        <v>173</v>
      </c>
    </row>
    <row r="74" spans="1:15" s="1" customFormat="1">
      <c r="A74" s="8">
        <v>69</v>
      </c>
      <c r="B74" s="13"/>
      <c r="C74" s="8"/>
      <c r="D74" s="10" t="s">
        <v>114</v>
      </c>
      <c r="E74" s="13" t="s">
        <v>29</v>
      </c>
      <c r="F74" s="13" t="s">
        <v>35</v>
      </c>
      <c r="G74" s="11">
        <v>9800000</v>
      </c>
      <c r="H74" s="24">
        <v>5000000</v>
      </c>
      <c r="I74" s="24"/>
      <c r="J74" s="24"/>
      <c r="K74" s="24"/>
      <c r="L74" s="24"/>
      <c r="M74" s="24">
        <f t="shared" si="2"/>
        <v>4800000</v>
      </c>
      <c r="N74" s="33">
        <v>45974</v>
      </c>
      <c r="O74" s="10"/>
    </row>
    <row r="75" spans="1:15" s="1" customFormat="1">
      <c r="A75" s="8">
        <v>70</v>
      </c>
      <c r="B75" s="13"/>
      <c r="C75" s="8"/>
      <c r="D75" s="10" t="s">
        <v>115</v>
      </c>
      <c r="E75" s="13" t="s">
        <v>23</v>
      </c>
      <c r="F75" s="13" t="s">
        <v>24</v>
      </c>
      <c r="G75" s="11">
        <v>9800000</v>
      </c>
      <c r="H75" s="24">
        <v>500000</v>
      </c>
      <c r="I75" s="24"/>
      <c r="J75" s="24"/>
      <c r="K75" s="24"/>
      <c r="L75" s="24"/>
      <c r="M75" s="24">
        <f t="shared" si="2"/>
        <v>9300000</v>
      </c>
      <c r="N75" s="33">
        <v>45974</v>
      </c>
      <c r="O75" s="10"/>
    </row>
    <row r="76" spans="1:15" s="1" customFormat="1">
      <c r="A76" s="8">
        <v>71</v>
      </c>
      <c r="B76" s="13"/>
      <c r="C76" s="8"/>
      <c r="D76" s="10" t="s">
        <v>116</v>
      </c>
      <c r="E76" s="13" t="s">
        <v>23</v>
      </c>
      <c r="F76" s="13" t="s">
        <v>24</v>
      </c>
      <c r="G76" s="11">
        <v>9800000</v>
      </c>
      <c r="H76" s="24">
        <v>4500000</v>
      </c>
      <c r="I76" s="24"/>
      <c r="J76" s="24"/>
      <c r="K76" s="24"/>
      <c r="L76" s="24"/>
      <c r="M76" s="24">
        <f t="shared" si="2"/>
        <v>5300000</v>
      </c>
      <c r="N76" s="33">
        <v>45974</v>
      </c>
      <c r="O76" s="10"/>
    </row>
    <row r="77" spans="1:15" s="1" customFormat="1">
      <c r="A77" s="8">
        <v>72</v>
      </c>
      <c r="B77" s="13"/>
      <c r="C77" s="8"/>
      <c r="D77" s="10" t="s">
        <v>117</v>
      </c>
      <c r="E77" s="13" t="s">
        <v>23</v>
      </c>
      <c r="F77" s="13" t="s">
        <v>40</v>
      </c>
      <c r="G77" s="11">
        <v>9800000</v>
      </c>
      <c r="H77" s="24">
        <v>5000000</v>
      </c>
      <c r="I77" s="24"/>
      <c r="J77" s="24"/>
      <c r="K77" s="24"/>
      <c r="L77" s="24"/>
      <c r="M77" s="24">
        <f t="shared" si="2"/>
        <v>4800000</v>
      </c>
      <c r="N77" s="33">
        <v>45974</v>
      </c>
      <c r="O77" s="10"/>
    </row>
    <row r="78" spans="1:15" s="1" customFormat="1" ht="31.5">
      <c r="A78" s="8">
        <v>73</v>
      </c>
      <c r="B78" s="13"/>
      <c r="C78" s="8"/>
      <c r="D78" s="10" t="s">
        <v>118</v>
      </c>
      <c r="E78" s="13" t="s">
        <v>29</v>
      </c>
      <c r="F78" s="13" t="s">
        <v>20</v>
      </c>
      <c r="G78" s="11">
        <v>9800000</v>
      </c>
      <c r="H78" s="24">
        <v>800000</v>
      </c>
      <c r="I78" s="24"/>
      <c r="J78" s="24"/>
      <c r="K78" s="24"/>
      <c r="L78" s="24"/>
      <c r="M78" s="24">
        <f t="shared" si="2"/>
        <v>9000000</v>
      </c>
      <c r="N78" s="33">
        <v>45974</v>
      </c>
      <c r="O78" s="10"/>
    </row>
    <row r="79" spans="1:15" s="1" customFormat="1" ht="31.5">
      <c r="A79" s="8">
        <v>74</v>
      </c>
      <c r="B79" s="13"/>
      <c r="C79" s="8"/>
      <c r="D79" s="10" t="s">
        <v>119</v>
      </c>
      <c r="E79" s="13" t="s">
        <v>29</v>
      </c>
      <c r="F79" s="13" t="s">
        <v>20</v>
      </c>
      <c r="G79" s="11">
        <v>9800000</v>
      </c>
      <c r="H79" s="24">
        <v>4900000</v>
      </c>
      <c r="I79" s="24"/>
      <c r="J79" s="24"/>
      <c r="K79" s="24"/>
      <c r="L79" s="24"/>
      <c r="M79" s="24">
        <f t="shared" si="2"/>
        <v>4900000</v>
      </c>
      <c r="N79" s="33">
        <v>45974</v>
      </c>
      <c r="O79" s="10"/>
    </row>
    <row r="80" spans="1:15" s="1" customFormat="1" ht="20.100000000000001" customHeight="1">
      <c r="A80" s="8">
        <v>75</v>
      </c>
      <c r="B80" s="13"/>
      <c r="C80" s="8"/>
      <c r="D80" s="10" t="s">
        <v>120</v>
      </c>
      <c r="E80" s="13" t="s">
        <v>23</v>
      </c>
      <c r="F80" s="13" t="s">
        <v>40</v>
      </c>
      <c r="G80" s="11">
        <v>9800000</v>
      </c>
      <c r="H80" s="24">
        <v>5000000</v>
      </c>
      <c r="I80" s="24"/>
      <c r="J80" s="24"/>
      <c r="K80" s="24"/>
      <c r="L80" s="24"/>
      <c r="M80" s="24">
        <f t="shared" si="2"/>
        <v>4800000</v>
      </c>
      <c r="N80" s="33">
        <v>45974</v>
      </c>
      <c r="O80" s="10"/>
    </row>
    <row r="81" spans="1:15" s="1" customFormat="1" ht="20.100000000000001" customHeight="1">
      <c r="A81" s="8">
        <v>76</v>
      </c>
      <c r="B81" s="13"/>
      <c r="C81" s="8"/>
      <c r="D81" s="10" t="s">
        <v>121</v>
      </c>
      <c r="E81" s="13" t="s">
        <v>23</v>
      </c>
      <c r="F81" s="13" t="s">
        <v>40</v>
      </c>
      <c r="G81" s="11">
        <v>9800000</v>
      </c>
      <c r="H81" s="24">
        <v>1500000</v>
      </c>
      <c r="I81" s="24"/>
      <c r="J81" s="24"/>
      <c r="K81" s="24"/>
      <c r="L81" s="24"/>
      <c r="M81" s="24">
        <f t="shared" si="2"/>
        <v>8300000</v>
      </c>
      <c r="N81" s="33">
        <v>45978</v>
      </c>
      <c r="O81" s="10"/>
    </row>
    <row r="82" spans="1:15" s="1" customFormat="1" ht="20.100000000000001" customHeight="1">
      <c r="A82" s="8">
        <v>77</v>
      </c>
      <c r="B82" s="13"/>
      <c r="C82" s="8"/>
      <c r="D82" s="10" t="s">
        <v>122</v>
      </c>
      <c r="E82" s="13" t="s">
        <v>23</v>
      </c>
      <c r="F82" s="13" t="s">
        <v>40</v>
      </c>
      <c r="G82" s="11">
        <v>9800000</v>
      </c>
      <c r="H82" s="24">
        <v>1000000</v>
      </c>
      <c r="I82" s="24">
        <v>4000000</v>
      </c>
      <c r="J82" s="24">
        <v>1500000</v>
      </c>
      <c r="K82" s="24">
        <v>2000000</v>
      </c>
      <c r="L82" s="24"/>
      <c r="M82" s="24">
        <f t="shared" si="2"/>
        <v>1300000</v>
      </c>
      <c r="N82" s="33">
        <v>45978</v>
      </c>
      <c r="O82" s="10"/>
    </row>
    <row r="83" spans="1:15" s="1" customFormat="1" ht="31.5">
      <c r="A83" s="8">
        <v>78</v>
      </c>
      <c r="B83" s="13"/>
      <c r="C83" s="8"/>
      <c r="D83" s="18" t="s">
        <v>123</v>
      </c>
      <c r="E83" s="19" t="s">
        <v>29</v>
      </c>
      <c r="F83" s="19" t="s">
        <v>20</v>
      </c>
      <c r="G83" s="20">
        <v>9800000</v>
      </c>
      <c r="H83" s="21">
        <v>9800000</v>
      </c>
      <c r="I83" s="21"/>
      <c r="J83" s="21"/>
      <c r="K83" s="21"/>
      <c r="L83" s="21"/>
      <c r="M83" s="24">
        <f t="shared" si="2"/>
        <v>0</v>
      </c>
      <c r="N83" s="54">
        <v>45978</v>
      </c>
      <c r="O83" s="18" t="s">
        <v>173</v>
      </c>
    </row>
    <row r="84" spans="1:15" s="1" customFormat="1" ht="31.5">
      <c r="A84" s="8">
        <v>79</v>
      </c>
      <c r="B84" s="13"/>
      <c r="C84" s="8"/>
      <c r="D84" s="10" t="s">
        <v>127</v>
      </c>
      <c r="E84" s="13" t="s">
        <v>29</v>
      </c>
      <c r="F84" s="13" t="s">
        <v>20</v>
      </c>
      <c r="G84" s="11">
        <v>9800000</v>
      </c>
      <c r="H84" s="24">
        <v>5000000</v>
      </c>
      <c r="I84" s="24"/>
      <c r="J84" s="24"/>
      <c r="K84" s="24"/>
      <c r="L84" s="24"/>
      <c r="M84" s="24">
        <f t="shared" si="2"/>
        <v>4800000</v>
      </c>
      <c r="N84" s="33">
        <v>45978</v>
      </c>
      <c r="O84" s="10"/>
    </row>
    <row r="85" spans="1:15" s="1" customFormat="1" ht="31.5">
      <c r="A85" s="8">
        <v>80</v>
      </c>
      <c r="B85" s="13"/>
      <c r="C85" s="8"/>
      <c r="D85" s="10" t="s">
        <v>130</v>
      </c>
      <c r="E85" s="13" t="s">
        <v>19</v>
      </c>
      <c r="F85" s="13" t="s">
        <v>20</v>
      </c>
      <c r="G85" s="11">
        <v>9800000</v>
      </c>
      <c r="H85" s="24">
        <v>1800000</v>
      </c>
      <c r="I85" s="24">
        <v>1000000</v>
      </c>
      <c r="J85" s="24">
        <v>2000000</v>
      </c>
      <c r="K85" s="24">
        <v>3000000</v>
      </c>
      <c r="L85" s="24"/>
      <c r="M85" s="24">
        <f t="shared" si="2"/>
        <v>2000000</v>
      </c>
      <c r="N85" s="33">
        <v>45980</v>
      </c>
      <c r="O85" s="10"/>
    </row>
    <row r="86" spans="1:15" s="1" customFormat="1" ht="31.5">
      <c r="A86" s="8">
        <v>81</v>
      </c>
      <c r="B86" s="13"/>
      <c r="C86" s="8"/>
      <c r="D86" s="10" t="s">
        <v>131</v>
      </c>
      <c r="E86" s="13" t="s">
        <v>19</v>
      </c>
      <c r="F86" s="13" t="s">
        <v>20</v>
      </c>
      <c r="G86" s="11">
        <v>9800000</v>
      </c>
      <c r="H86" s="24">
        <v>5000000</v>
      </c>
      <c r="I86" s="24"/>
      <c r="J86" s="24"/>
      <c r="K86" s="24"/>
      <c r="L86" s="24"/>
      <c r="M86" s="24">
        <f t="shared" si="2"/>
        <v>4800000</v>
      </c>
      <c r="N86" s="33">
        <v>45980</v>
      </c>
      <c r="O86" s="10"/>
    </row>
    <row r="87" spans="1:15" s="1" customFormat="1" ht="31.5">
      <c r="A87" s="8">
        <v>82</v>
      </c>
      <c r="B87" s="13"/>
      <c r="C87" s="8"/>
      <c r="D87" s="10" t="s">
        <v>133</v>
      </c>
      <c r="E87" s="13" t="s">
        <v>19</v>
      </c>
      <c r="F87" s="13" t="s">
        <v>20</v>
      </c>
      <c r="G87" s="11">
        <v>9800000</v>
      </c>
      <c r="H87" s="24">
        <v>4900000</v>
      </c>
      <c r="I87" s="24"/>
      <c r="J87" s="24"/>
      <c r="K87" s="24"/>
      <c r="L87" s="24"/>
      <c r="M87" s="24">
        <f t="shared" si="2"/>
        <v>4900000</v>
      </c>
      <c r="N87" s="33">
        <v>45980</v>
      </c>
      <c r="O87" s="10"/>
    </row>
    <row r="88" spans="1:15" s="1" customFormat="1" ht="31.5">
      <c r="A88" s="8">
        <v>83</v>
      </c>
      <c r="B88" s="13"/>
      <c r="C88" s="8"/>
      <c r="D88" s="10" t="s">
        <v>134</v>
      </c>
      <c r="E88" s="13" t="s">
        <v>19</v>
      </c>
      <c r="F88" s="13" t="s">
        <v>20</v>
      </c>
      <c r="G88" s="11">
        <v>9800000</v>
      </c>
      <c r="H88" s="24">
        <v>1500000</v>
      </c>
      <c r="I88" s="24">
        <v>3000000</v>
      </c>
      <c r="J88" s="24"/>
      <c r="K88" s="24"/>
      <c r="L88" s="24"/>
      <c r="M88" s="24">
        <f t="shared" si="2"/>
        <v>5300000</v>
      </c>
      <c r="N88" s="33">
        <v>45980</v>
      </c>
      <c r="O88" s="10"/>
    </row>
    <row r="89" spans="1:15" s="1" customFormat="1">
      <c r="A89" s="8">
        <v>84</v>
      </c>
      <c r="B89" s="13"/>
      <c r="C89" s="8"/>
      <c r="D89" s="10" t="s">
        <v>135</v>
      </c>
      <c r="E89" s="13" t="s">
        <v>19</v>
      </c>
      <c r="F89" s="13" t="s">
        <v>35</v>
      </c>
      <c r="G89" s="11">
        <v>9800000</v>
      </c>
      <c r="H89" s="24">
        <v>1000000</v>
      </c>
      <c r="I89" s="24"/>
      <c r="J89" s="24"/>
      <c r="K89" s="24"/>
      <c r="L89" s="24"/>
      <c r="M89" s="24">
        <f t="shared" si="2"/>
        <v>8800000</v>
      </c>
      <c r="N89" s="33">
        <v>45980</v>
      </c>
      <c r="O89" s="10"/>
    </row>
    <row r="90" spans="1:15" s="1" customFormat="1" ht="31.5">
      <c r="A90" s="8">
        <v>85</v>
      </c>
      <c r="B90" s="13"/>
      <c r="C90" s="8"/>
      <c r="D90" s="10" t="s">
        <v>136</v>
      </c>
      <c r="E90" s="13" t="s">
        <v>19</v>
      </c>
      <c r="F90" s="13" t="s">
        <v>35</v>
      </c>
      <c r="G90" s="11">
        <v>9800000</v>
      </c>
      <c r="H90" s="24">
        <v>4900000</v>
      </c>
      <c r="I90" s="24"/>
      <c r="J90" s="24"/>
      <c r="K90" s="24"/>
      <c r="L90" s="24"/>
      <c r="M90" s="24">
        <f t="shared" si="2"/>
        <v>4900000</v>
      </c>
      <c r="N90" s="33">
        <v>45980</v>
      </c>
      <c r="O90" s="10"/>
    </row>
    <row r="91" spans="1:15" s="1" customFormat="1" ht="31.5">
      <c r="A91" s="8">
        <v>86</v>
      </c>
      <c r="B91" s="13"/>
      <c r="C91" s="8"/>
      <c r="D91" s="10" t="s">
        <v>137</v>
      </c>
      <c r="E91" s="13" t="s">
        <v>19</v>
      </c>
      <c r="F91" s="13" t="s">
        <v>20</v>
      </c>
      <c r="G91" s="11">
        <v>9800000</v>
      </c>
      <c r="H91" s="24">
        <v>9800000</v>
      </c>
      <c r="I91" s="24"/>
      <c r="J91" s="24"/>
      <c r="K91" s="24"/>
      <c r="L91" s="24"/>
      <c r="M91" s="24">
        <f t="shared" si="2"/>
        <v>0</v>
      </c>
      <c r="N91" s="33">
        <v>45980</v>
      </c>
      <c r="O91" s="10" t="s">
        <v>38</v>
      </c>
    </row>
    <row r="92" spans="1:15" s="1" customFormat="1" ht="31.5">
      <c r="A92" s="8">
        <v>87</v>
      </c>
      <c r="B92" s="13"/>
      <c r="C92" s="8"/>
      <c r="D92" s="10" t="s">
        <v>138</v>
      </c>
      <c r="E92" s="13" t="s">
        <v>19</v>
      </c>
      <c r="F92" s="13" t="s">
        <v>20</v>
      </c>
      <c r="G92" s="11">
        <v>9800000</v>
      </c>
      <c r="H92" s="24">
        <v>4900000</v>
      </c>
      <c r="I92" s="24"/>
      <c r="J92" s="24"/>
      <c r="K92" s="24"/>
      <c r="L92" s="24"/>
      <c r="M92" s="24">
        <f t="shared" si="2"/>
        <v>4900000</v>
      </c>
      <c r="N92" s="33">
        <v>45980</v>
      </c>
      <c r="O92" s="10"/>
    </row>
    <row r="93" spans="1:15" s="1" customFormat="1" ht="31.5">
      <c r="A93" s="8">
        <v>88</v>
      </c>
      <c r="B93" s="13"/>
      <c r="C93" s="8"/>
      <c r="D93" s="10" t="s">
        <v>139</v>
      </c>
      <c r="E93" s="13" t="s">
        <v>19</v>
      </c>
      <c r="F93" s="13" t="s">
        <v>20</v>
      </c>
      <c r="G93" s="11">
        <v>9800000</v>
      </c>
      <c r="H93" s="24">
        <v>9800000</v>
      </c>
      <c r="I93" s="24"/>
      <c r="J93" s="24"/>
      <c r="K93" s="24"/>
      <c r="L93" s="24"/>
      <c r="M93" s="24">
        <f t="shared" si="2"/>
        <v>0</v>
      </c>
      <c r="N93" s="33">
        <v>45980</v>
      </c>
      <c r="O93" s="10" t="s">
        <v>38</v>
      </c>
    </row>
    <row r="94" spans="1:15" s="1" customFormat="1" ht="31.5">
      <c r="A94" s="8">
        <v>89</v>
      </c>
      <c r="B94" s="13"/>
      <c r="C94" s="8"/>
      <c r="D94" s="10" t="s">
        <v>141</v>
      </c>
      <c r="E94" s="13" t="s">
        <v>19</v>
      </c>
      <c r="F94" s="13" t="s">
        <v>20</v>
      </c>
      <c r="G94" s="11">
        <v>9800000</v>
      </c>
      <c r="H94" s="24">
        <v>2000000</v>
      </c>
      <c r="I94" s="24"/>
      <c r="J94" s="24"/>
      <c r="K94" s="24"/>
      <c r="L94" s="24"/>
      <c r="M94" s="24">
        <f t="shared" si="2"/>
        <v>7800000</v>
      </c>
      <c r="N94" s="33">
        <v>45980</v>
      </c>
      <c r="O94" s="10"/>
    </row>
    <row r="95" spans="1:15" s="1" customFormat="1">
      <c r="A95" s="8">
        <v>90</v>
      </c>
      <c r="B95" s="13"/>
      <c r="C95" s="8"/>
      <c r="D95" s="10" t="s">
        <v>142</v>
      </c>
      <c r="E95" s="13" t="s">
        <v>19</v>
      </c>
      <c r="F95" s="13" t="s">
        <v>35</v>
      </c>
      <c r="G95" s="11">
        <v>9800000</v>
      </c>
      <c r="H95" s="24">
        <v>5000000</v>
      </c>
      <c r="I95" s="24"/>
      <c r="J95" s="24"/>
      <c r="K95" s="24"/>
      <c r="L95" s="24"/>
      <c r="M95" s="24">
        <f t="shared" si="2"/>
        <v>4800000</v>
      </c>
      <c r="N95" s="33">
        <v>45980</v>
      </c>
      <c r="O95" s="10"/>
    </row>
    <row r="96" spans="1:15" s="1" customFormat="1" ht="31.5">
      <c r="A96" s="8">
        <v>91</v>
      </c>
      <c r="B96" s="13"/>
      <c r="C96" s="8"/>
      <c r="D96" s="10" t="s">
        <v>143</v>
      </c>
      <c r="E96" s="13" t="s">
        <v>19</v>
      </c>
      <c r="F96" s="13" t="s">
        <v>20</v>
      </c>
      <c r="G96" s="11">
        <v>9800000</v>
      </c>
      <c r="H96" s="24">
        <v>2000000</v>
      </c>
      <c r="I96" s="24">
        <v>3000000</v>
      </c>
      <c r="J96" s="24"/>
      <c r="K96" s="24"/>
      <c r="L96" s="24"/>
      <c r="M96" s="24">
        <f t="shared" si="2"/>
        <v>4800000</v>
      </c>
      <c r="N96" s="33">
        <v>45980</v>
      </c>
      <c r="O96" s="10"/>
    </row>
    <row r="97" spans="1:15" s="1" customFormat="1" ht="31.5">
      <c r="A97" s="8">
        <v>92</v>
      </c>
      <c r="B97" s="13"/>
      <c r="C97" s="8"/>
      <c r="D97" s="10" t="s">
        <v>144</v>
      </c>
      <c r="E97" s="13" t="s">
        <v>19</v>
      </c>
      <c r="F97" s="13" t="s">
        <v>20</v>
      </c>
      <c r="G97" s="11">
        <v>9800000</v>
      </c>
      <c r="H97" s="24">
        <v>1800000</v>
      </c>
      <c r="I97" s="24"/>
      <c r="J97" s="24"/>
      <c r="K97" s="24"/>
      <c r="L97" s="24"/>
      <c r="M97" s="24">
        <f t="shared" si="2"/>
        <v>8000000</v>
      </c>
      <c r="N97" s="33">
        <v>45980</v>
      </c>
      <c r="O97" s="10"/>
    </row>
    <row r="98" spans="1:15" s="1" customFormat="1">
      <c r="A98" s="8">
        <v>93</v>
      </c>
      <c r="B98" s="13"/>
      <c r="C98" s="8"/>
      <c r="D98" s="10" t="s">
        <v>145</v>
      </c>
      <c r="E98" s="13" t="s">
        <v>23</v>
      </c>
      <c r="F98" s="13" t="s">
        <v>24</v>
      </c>
      <c r="G98" s="11">
        <v>9800000</v>
      </c>
      <c r="H98" s="24">
        <v>5000000</v>
      </c>
      <c r="I98" s="24"/>
      <c r="J98" s="24"/>
      <c r="K98" s="24"/>
      <c r="L98" s="24"/>
      <c r="M98" s="24">
        <f t="shared" si="2"/>
        <v>4800000</v>
      </c>
      <c r="N98" s="33">
        <v>45980</v>
      </c>
      <c r="O98" s="10"/>
    </row>
    <row r="99" spans="1:15" s="1" customFormat="1">
      <c r="A99" s="8">
        <v>94</v>
      </c>
      <c r="B99" s="13"/>
      <c r="C99" s="8"/>
      <c r="D99" s="10" t="s">
        <v>147</v>
      </c>
      <c r="E99" s="13" t="s">
        <v>19</v>
      </c>
      <c r="F99" s="13" t="s">
        <v>35</v>
      </c>
      <c r="G99" s="11">
        <v>9800000</v>
      </c>
      <c r="H99" s="24">
        <v>5000000</v>
      </c>
      <c r="I99" s="24"/>
      <c r="J99" s="24"/>
      <c r="K99" s="24"/>
      <c r="L99" s="24"/>
      <c r="M99" s="24">
        <f t="shared" si="2"/>
        <v>4800000</v>
      </c>
      <c r="N99" s="33">
        <v>45980</v>
      </c>
      <c r="O99" s="10"/>
    </row>
    <row r="100" spans="1:15" s="1" customFormat="1">
      <c r="A100" s="8">
        <v>95</v>
      </c>
      <c r="B100" s="13"/>
      <c r="C100" s="8"/>
      <c r="D100" s="10" t="s">
        <v>148</v>
      </c>
      <c r="E100" s="13" t="s">
        <v>23</v>
      </c>
      <c r="F100" s="13" t="s">
        <v>40</v>
      </c>
      <c r="G100" s="11">
        <v>9800000</v>
      </c>
      <c r="H100" s="24">
        <v>1000000</v>
      </c>
      <c r="I100" s="24"/>
      <c r="J100" s="24"/>
      <c r="K100" s="24"/>
      <c r="L100" s="24"/>
      <c r="M100" s="24">
        <f t="shared" si="2"/>
        <v>8800000</v>
      </c>
      <c r="N100" s="33">
        <v>45980</v>
      </c>
      <c r="O100" s="10"/>
    </row>
    <row r="101" spans="1:15" s="1" customFormat="1" ht="31.5">
      <c r="A101" s="8">
        <v>96</v>
      </c>
      <c r="B101" s="13"/>
      <c r="C101" s="8"/>
      <c r="D101" s="10" t="s">
        <v>149</v>
      </c>
      <c r="E101" s="13" t="s">
        <v>19</v>
      </c>
      <c r="F101" s="13" t="s">
        <v>20</v>
      </c>
      <c r="G101" s="11">
        <v>9800000</v>
      </c>
      <c r="H101" s="24">
        <v>5000000</v>
      </c>
      <c r="I101" s="24"/>
      <c r="J101" s="24"/>
      <c r="K101" s="24"/>
      <c r="L101" s="24"/>
      <c r="M101" s="24">
        <f t="shared" si="2"/>
        <v>4800000</v>
      </c>
      <c r="N101" s="33">
        <v>45980</v>
      </c>
      <c r="O101" s="10"/>
    </row>
    <row r="102" spans="1:15" s="1" customFormat="1">
      <c r="A102" s="8">
        <v>97</v>
      </c>
      <c r="B102" s="13"/>
      <c r="C102" s="8"/>
      <c r="D102" s="10" t="s">
        <v>151</v>
      </c>
      <c r="E102" s="13" t="s">
        <v>19</v>
      </c>
      <c r="F102" s="13" t="s">
        <v>35</v>
      </c>
      <c r="G102" s="11">
        <v>9800000</v>
      </c>
      <c r="H102" s="24">
        <v>2800000</v>
      </c>
      <c r="I102" s="24"/>
      <c r="J102" s="24"/>
      <c r="K102" s="24"/>
      <c r="L102" s="24"/>
      <c r="M102" s="24">
        <f t="shared" si="2"/>
        <v>7000000</v>
      </c>
      <c r="N102" s="33">
        <v>45980</v>
      </c>
      <c r="O102" s="10"/>
    </row>
    <row r="103" spans="1:15" s="1" customFormat="1" ht="31.5">
      <c r="A103" s="8">
        <v>98</v>
      </c>
      <c r="B103" s="13"/>
      <c r="C103" s="8"/>
      <c r="D103" s="10" t="s">
        <v>152</v>
      </c>
      <c r="E103" s="13" t="s">
        <v>19</v>
      </c>
      <c r="F103" s="13" t="s">
        <v>20</v>
      </c>
      <c r="G103" s="11">
        <v>9800000</v>
      </c>
      <c r="H103" s="24">
        <v>4800000</v>
      </c>
      <c r="I103" s="24">
        <v>1000000</v>
      </c>
      <c r="J103" s="24">
        <v>1500000</v>
      </c>
      <c r="K103" s="24"/>
      <c r="L103" s="24"/>
      <c r="M103" s="24">
        <f t="shared" ref="M103:M120" si="3">G103-H103-I103-J103-K103-L103</f>
        <v>2500000</v>
      </c>
      <c r="N103" s="33">
        <v>45980</v>
      </c>
      <c r="O103" s="10"/>
    </row>
    <row r="104" spans="1:15" s="1" customFormat="1">
      <c r="A104" s="8">
        <v>99</v>
      </c>
      <c r="B104" s="13"/>
      <c r="C104" s="8"/>
      <c r="D104" s="10" t="s">
        <v>153</v>
      </c>
      <c r="E104" s="13" t="s">
        <v>19</v>
      </c>
      <c r="F104" s="13" t="s">
        <v>35</v>
      </c>
      <c r="G104" s="11">
        <v>9800000</v>
      </c>
      <c r="H104" s="24">
        <v>4500000</v>
      </c>
      <c r="I104" s="24"/>
      <c r="J104" s="24"/>
      <c r="K104" s="24"/>
      <c r="L104" s="24"/>
      <c r="M104" s="24">
        <f t="shared" si="3"/>
        <v>5300000</v>
      </c>
      <c r="N104" s="33">
        <v>45980</v>
      </c>
      <c r="O104" s="10"/>
    </row>
    <row r="105" spans="1:15" s="1" customFormat="1">
      <c r="A105" s="8">
        <v>100</v>
      </c>
      <c r="B105" s="13"/>
      <c r="C105" s="8"/>
      <c r="D105" s="10" t="s">
        <v>154</v>
      </c>
      <c r="E105" s="13" t="s">
        <v>23</v>
      </c>
      <c r="F105" s="13" t="s">
        <v>24</v>
      </c>
      <c r="G105" s="11">
        <v>9800000</v>
      </c>
      <c r="H105" s="24">
        <v>5000000</v>
      </c>
      <c r="I105" s="24">
        <v>4800000</v>
      </c>
      <c r="J105" s="24"/>
      <c r="K105" s="24"/>
      <c r="L105" s="24"/>
      <c r="M105" s="24">
        <f t="shared" si="3"/>
        <v>0</v>
      </c>
      <c r="N105" s="33">
        <v>45980</v>
      </c>
      <c r="O105" s="10"/>
    </row>
    <row r="106" spans="1:15" s="1" customFormat="1" ht="31.5">
      <c r="A106" s="8">
        <v>101</v>
      </c>
      <c r="B106" s="13"/>
      <c r="C106" s="8"/>
      <c r="D106" s="10" t="s">
        <v>155</v>
      </c>
      <c r="E106" s="13" t="s">
        <v>19</v>
      </c>
      <c r="F106" s="13" t="s">
        <v>35</v>
      </c>
      <c r="G106" s="11">
        <v>9800000</v>
      </c>
      <c r="H106" s="24">
        <v>2800000</v>
      </c>
      <c r="I106" s="24"/>
      <c r="J106" s="24"/>
      <c r="K106" s="24"/>
      <c r="L106" s="24"/>
      <c r="M106" s="24">
        <f t="shared" si="3"/>
        <v>7000000</v>
      </c>
      <c r="N106" s="33">
        <v>45980</v>
      </c>
      <c r="O106" s="10"/>
    </row>
    <row r="107" spans="1:15" s="1" customFormat="1" ht="31.5">
      <c r="A107" s="8">
        <v>102</v>
      </c>
      <c r="B107" s="13"/>
      <c r="C107" s="8"/>
      <c r="D107" s="10" t="s">
        <v>156</v>
      </c>
      <c r="E107" s="13" t="s">
        <v>19</v>
      </c>
      <c r="F107" s="13" t="s">
        <v>20</v>
      </c>
      <c r="G107" s="11">
        <v>9800000</v>
      </c>
      <c r="H107" s="24">
        <v>4900000</v>
      </c>
      <c r="I107" s="24">
        <v>4900000</v>
      </c>
      <c r="J107" s="24"/>
      <c r="K107" s="24"/>
      <c r="L107" s="24"/>
      <c r="M107" s="24">
        <f t="shared" si="3"/>
        <v>0</v>
      </c>
      <c r="N107" s="33">
        <v>45980</v>
      </c>
      <c r="O107" s="10"/>
    </row>
    <row r="108" spans="1:15" s="1" customFormat="1" ht="31.5">
      <c r="A108" s="8">
        <v>103</v>
      </c>
      <c r="B108" s="13"/>
      <c r="C108" s="8"/>
      <c r="D108" s="10" t="s">
        <v>157</v>
      </c>
      <c r="E108" s="13" t="s">
        <v>19</v>
      </c>
      <c r="F108" s="13" t="s">
        <v>20</v>
      </c>
      <c r="G108" s="11">
        <v>9800000</v>
      </c>
      <c r="H108" s="24">
        <v>9800000</v>
      </c>
      <c r="I108" s="24"/>
      <c r="J108" s="24"/>
      <c r="K108" s="24"/>
      <c r="L108" s="24"/>
      <c r="M108" s="24">
        <f t="shared" si="3"/>
        <v>0</v>
      </c>
      <c r="N108" s="33">
        <v>45980</v>
      </c>
      <c r="O108" s="10" t="s">
        <v>38</v>
      </c>
    </row>
    <row r="109" spans="1:15" s="1" customFormat="1" ht="31.5">
      <c r="A109" s="37">
        <v>104</v>
      </c>
      <c r="B109" s="13"/>
      <c r="C109" s="8"/>
      <c r="D109" s="10" t="s">
        <v>158</v>
      </c>
      <c r="E109" s="13" t="s">
        <v>19</v>
      </c>
      <c r="F109" s="13" t="s">
        <v>20</v>
      </c>
      <c r="G109" s="11">
        <v>4900000</v>
      </c>
      <c r="H109" s="24">
        <v>1000000</v>
      </c>
      <c r="I109" s="24"/>
      <c r="J109" s="24"/>
      <c r="K109" s="24"/>
      <c r="L109" s="24"/>
      <c r="M109" s="24">
        <f t="shared" si="3"/>
        <v>3900000</v>
      </c>
      <c r="N109" s="33">
        <v>45980</v>
      </c>
      <c r="O109" s="10" t="s">
        <v>48</v>
      </c>
    </row>
    <row r="110" spans="1:15" s="1" customFormat="1" ht="31.5">
      <c r="A110" s="8">
        <v>105</v>
      </c>
      <c r="B110" s="13"/>
      <c r="C110" s="8"/>
      <c r="D110" s="10" t="s">
        <v>159</v>
      </c>
      <c r="E110" s="13" t="s">
        <v>19</v>
      </c>
      <c r="F110" s="13" t="s">
        <v>20</v>
      </c>
      <c r="G110" s="11">
        <v>4900000</v>
      </c>
      <c r="H110" s="24">
        <v>1000000</v>
      </c>
      <c r="I110" s="24"/>
      <c r="J110" s="24"/>
      <c r="K110" s="24"/>
      <c r="L110" s="24"/>
      <c r="M110" s="24">
        <f t="shared" si="3"/>
        <v>3900000</v>
      </c>
      <c r="N110" s="33">
        <v>45980</v>
      </c>
      <c r="O110" s="10" t="s">
        <v>48</v>
      </c>
    </row>
    <row r="111" spans="1:15" s="1" customFormat="1" ht="20.100000000000001" customHeight="1">
      <c r="A111" s="8">
        <v>106</v>
      </c>
      <c r="B111" s="13"/>
      <c r="C111" s="8"/>
      <c r="D111" s="10" t="s">
        <v>161</v>
      </c>
      <c r="E111" s="13" t="s">
        <v>19</v>
      </c>
      <c r="F111" s="13" t="s">
        <v>35</v>
      </c>
      <c r="G111" s="11">
        <v>9800000</v>
      </c>
      <c r="H111" s="24">
        <v>9800000</v>
      </c>
      <c r="I111" s="24"/>
      <c r="J111" s="24"/>
      <c r="K111" s="24"/>
      <c r="L111" s="24"/>
      <c r="M111" s="24">
        <f t="shared" si="3"/>
        <v>0</v>
      </c>
      <c r="N111" s="33">
        <v>45980</v>
      </c>
      <c r="O111" s="10" t="s">
        <v>38</v>
      </c>
    </row>
    <row r="112" spans="1:15" s="1" customFormat="1" ht="20.100000000000001" customHeight="1">
      <c r="A112" s="8">
        <v>107</v>
      </c>
      <c r="B112" s="13"/>
      <c r="C112" s="8"/>
      <c r="D112" s="10" t="s">
        <v>162</v>
      </c>
      <c r="E112" s="13" t="s">
        <v>19</v>
      </c>
      <c r="F112" s="13" t="s">
        <v>35</v>
      </c>
      <c r="G112" s="11">
        <v>9800000</v>
      </c>
      <c r="H112" s="24">
        <v>5000000</v>
      </c>
      <c r="I112" s="24"/>
      <c r="J112" s="24"/>
      <c r="K112" s="24"/>
      <c r="L112" s="24"/>
      <c r="M112" s="24">
        <f t="shared" si="3"/>
        <v>4800000</v>
      </c>
      <c r="N112" s="33">
        <v>45980</v>
      </c>
      <c r="O112" s="10"/>
    </row>
    <row r="113" spans="1:15" s="1" customFormat="1" ht="20.100000000000001" customHeight="1">
      <c r="A113" s="23">
        <v>108</v>
      </c>
      <c r="B113" s="22"/>
      <c r="C113" s="23"/>
      <c r="D113" s="34" t="s">
        <v>163</v>
      </c>
      <c r="E113" s="22" t="s">
        <v>19</v>
      </c>
      <c r="F113" s="22"/>
      <c r="G113" s="35">
        <v>9800000</v>
      </c>
      <c r="H113" s="36">
        <v>1000000</v>
      </c>
      <c r="I113" s="36"/>
      <c r="J113" s="36"/>
      <c r="K113" s="36"/>
      <c r="L113" s="36"/>
      <c r="M113" s="24">
        <f t="shared" si="3"/>
        <v>8800000</v>
      </c>
      <c r="N113" s="53">
        <v>45980</v>
      </c>
      <c r="O113" s="34"/>
    </row>
    <row r="114" spans="1:15" s="1" customFormat="1" ht="20.100000000000001" customHeight="1">
      <c r="A114" s="8">
        <v>109</v>
      </c>
      <c r="B114" s="13"/>
      <c r="C114" s="8"/>
      <c r="D114" s="10" t="s">
        <v>164</v>
      </c>
      <c r="E114" s="13" t="s">
        <v>19</v>
      </c>
      <c r="F114" s="13" t="s">
        <v>35</v>
      </c>
      <c r="G114" s="11">
        <v>9800000</v>
      </c>
      <c r="H114" s="24">
        <v>5000000</v>
      </c>
      <c r="I114" s="24"/>
      <c r="J114" s="24"/>
      <c r="K114" s="24"/>
      <c r="L114" s="24"/>
      <c r="M114" s="24">
        <f t="shared" si="3"/>
        <v>4800000</v>
      </c>
      <c r="N114" s="33">
        <v>45980</v>
      </c>
      <c r="O114" s="10"/>
    </row>
    <row r="115" spans="1:15" s="1" customFormat="1" ht="20.100000000000001" customHeight="1">
      <c r="A115" s="23">
        <v>110</v>
      </c>
      <c r="B115" s="22"/>
      <c r="C115" s="23"/>
      <c r="D115" s="34" t="s">
        <v>165</v>
      </c>
      <c r="E115" s="22"/>
      <c r="F115" s="22"/>
      <c r="G115" s="35">
        <v>9800000</v>
      </c>
      <c r="H115" s="36"/>
      <c r="I115" s="36"/>
      <c r="J115" s="36"/>
      <c r="K115" s="36"/>
      <c r="L115" s="36"/>
      <c r="M115" s="24">
        <f t="shared" si="3"/>
        <v>9800000</v>
      </c>
      <c r="N115" s="53">
        <v>45980</v>
      </c>
      <c r="O115" s="34" t="s">
        <v>174</v>
      </c>
    </row>
    <row r="116" spans="1:15" s="1" customFormat="1" ht="20.100000000000001" customHeight="1">
      <c r="A116" s="8">
        <v>111</v>
      </c>
      <c r="B116" s="13"/>
      <c r="C116" s="8"/>
      <c r="D116" s="10" t="s">
        <v>166</v>
      </c>
      <c r="E116" s="13" t="s">
        <v>19</v>
      </c>
      <c r="F116" s="13" t="s">
        <v>35</v>
      </c>
      <c r="G116" s="11">
        <v>9800000</v>
      </c>
      <c r="H116" s="24">
        <v>2000000</v>
      </c>
      <c r="I116" s="24">
        <v>5000000</v>
      </c>
      <c r="J116" s="24"/>
      <c r="K116" s="24"/>
      <c r="L116" s="24"/>
      <c r="M116" s="24">
        <f t="shared" si="3"/>
        <v>2800000</v>
      </c>
      <c r="N116" s="33">
        <v>45980</v>
      </c>
      <c r="O116" s="10"/>
    </row>
    <row r="117" spans="1:15" s="1" customFormat="1" ht="20.100000000000001" customHeight="1">
      <c r="A117" s="8">
        <v>112</v>
      </c>
      <c r="B117" s="13"/>
      <c r="C117" s="8"/>
      <c r="D117" s="10" t="s">
        <v>168</v>
      </c>
      <c r="E117" s="13" t="s">
        <v>19</v>
      </c>
      <c r="F117" s="13" t="s">
        <v>35</v>
      </c>
      <c r="G117" s="11">
        <v>9800000</v>
      </c>
      <c r="H117" s="24">
        <v>5000000</v>
      </c>
      <c r="I117" s="24"/>
      <c r="J117" s="24"/>
      <c r="K117" s="24"/>
      <c r="L117" s="24"/>
      <c r="M117" s="24">
        <f t="shared" si="3"/>
        <v>4800000</v>
      </c>
      <c r="N117" s="33">
        <v>45980</v>
      </c>
      <c r="O117" s="10"/>
    </row>
    <row r="118" spans="1:15" s="1" customFormat="1" ht="20.100000000000001" customHeight="1">
      <c r="A118" s="8">
        <v>113</v>
      </c>
      <c r="B118" s="13"/>
      <c r="C118" s="8"/>
      <c r="D118" s="10" t="s">
        <v>175</v>
      </c>
      <c r="E118" s="13" t="s">
        <v>23</v>
      </c>
      <c r="F118" s="13" t="s">
        <v>24</v>
      </c>
      <c r="G118" s="11">
        <v>9800000</v>
      </c>
      <c r="H118" s="24">
        <v>5000000</v>
      </c>
      <c r="I118" s="24"/>
      <c r="J118" s="24"/>
      <c r="K118" s="24"/>
      <c r="L118" s="24"/>
      <c r="M118" s="24">
        <f t="shared" si="3"/>
        <v>4800000</v>
      </c>
      <c r="N118" s="33"/>
      <c r="O118" s="10"/>
    </row>
    <row r="119" spans="1:15" s="1" customFormat="1" ht="20.100000000000001" customHeight="1">
      <c r="A119" s="8">
        <v>114</v>
      </c>
      <c r="B119" s="13"/>
      <c r="C119" s="8"/>
      <c r="D119" s="10" t="s">
        <v>176</v>
      </c>
      <c r="E119" s="13" t="s">
        <v>23</v>
      </c>
      <c r="F119" s="13" t="s">
        <v>24</v>
      </c>
      <c r="G119" s="11">
        <v>9800000</v>
      </c>
      <c r="H119" s="24">
        <v>4900000</v>
      </c>
      <c r="I119" s="24"/>
      <c r="J119" s="24"/>
      <c r="K119" s="24"/>
      <c r="L119" s="24"/>
      <c r="M119" s="24">
        <f t="shared" si="3"/>
        <v>4900000</v>
      </c>
      <c r="N119" s="33"/>
      <c r="O119" s="10"/>
    </row>
    <row r="120" spans="1:15" s="1" customFormat="1" ht="20.100000000000001" customHeight="1">
      <c r="A120" s="8"/>
      <c r="B120" s="13"/>
      <c r="C120" s="8"/>
      <c r="D120" s="10"/>
      <c r="E120" s="13"/>
      <c r="F120" s="13"/>
      <c r="G120" s="11"/>
      <c r="H120" s="24"/>
      <c r="I120" s="24"/>
      <c r="J120" s="24"/>
      <c r="K120" s="24"/>
      <c r="L120" s="24"/>
      <c r="M120" s="24">
        <f t="shared" si="3"/>
        <v>0</v>
      </c>
      <c r="N120" s="55"/>
      <c r="O120" s="10"/>
    </row>
    <row r="121" spans="1:15">
      <c r="A121" s="38"/>
      <c r="B121" s="38"/>
      <c r="C121" s="38"/>
      <c r="D121" s="39"/>
      <c r="E121" s="38"/>
      <c r="F121" s="38"/>
      <c r="G121" s="40">
        <f>SUM(G7:G120)</f>
        <v>1024100000</v>
      </c>
      <c r="H121" s="41">
        <f>SUM(H7:H119)</f>
        <v>502800000</v>
      </c>
      <c r="I121" s="41">
        <f>SUM(I7:I119)</f>
        <v>97300000</v>
      </c>
      <c r="J121" s="41">
        <f>SUM(J7:J44)</f>
        <v>2000000</v>
      </c>
      <c r="K121" s="41">
        <f>SUM(K7:K44)</f>
        <v>0</v>
      </c>
      <c r="L121" s="41">
        <f>SUM(L7:L44)</f>
        <v>0</v>
      </c>
      <c r="M121" s="41">
        <f>SUM(M7:M118)</f>
        <v>403150000</v>
      </c>
      <c r="N121" s="41"/>
      <c r="O121" s="40"/>
    </row>
    <row r="123" spans="1:15">
      <c r="A123" s="42"/>
      <c r="B123" s="43"/>
      <c r="C123" s="44"/>
      <c r="D123" s="45" t="s">
        <v>169</v>
      </c>
      <c r="E123" s="8">
        <f>COUNTIF(F6:F120,"MTs Putra")</f>
        <v>48</v>
      </c>
    </row>
    <row r="124" spans="1:15">
      <c r="A124" s="42"/>
      <c r="B124" s="43"/>
      <c r="C124" s="46"/>
      <c r="D124" s="45" t="s">
        <v>170</v>
      </c>
      <c r="E124" s="8">
        <f>COUNTIF(F7:F120,"MTs Putri")</f>
        <v>24</v>
      </c>
    </row>
    <row r="125" spans="1:15">
      <c r="A125" s="42"/>
      <c r="B125" s="44"/>
      <c r="C125" s="47"/>
      <c r="D125" s="45" t="s">
        <v>40</v>
      </c>
      <c r="E125" s="8">
        <f>COUNTIF(F8:F119,"IL Putri")</f>
        <v>12</v>
      </c>
    </row>
    <row r="126" spans="1:15">
      <c r="A126" s="44"/>
      <c r="B126" s="44"/>
      <c r="C126" s="48"/>
      <c r="D126" s="49" t="s">
        <v>35</v>
      </c>
      <c r="E126" s="8">
        <f>COUNTIF(F9:F119,"IL Putra")</f>
        <v>26</v>
      </c>
    </row>
    <row r="127" spans="1:15">
      <c r="B127" s="50"/>
      <c r="C127" s="50"/>
      <c r="D127" s="51" t="s">
        <v>171</v>
      </c>
      <c r="E127" s="8">
        <f>COUNTIF(F10:F60,"SMA")</f>
        <v>0</v>
      </c>
    </row>
    <row r="128" spans="1:15">
      <c r="A128" s="71"/>
      <c r="B128" s="71"/>
      <c r="C128" s="72"/>
      <c r="D128" s="72"/>
      <c r="E128" s="52"/>
    </row>
    <row r="129" spans="1:15">
      <c r="D129" s="10" t="s">
        <v>48</v>
      </c>
      <c r="E129" s="56">
        <f>COUNTIF(O6:O119,"akamsi")</f>
        <v>5</v>
      </c>
      <c r="G129" s="10" t="s">
        <v>38</v>
      </c>
      <c r="H129" s="56">
        <f>COUNTIF(O6:O120,"Lunas")</f>
        <v>18</v>
      </c>
    </row>
    <row r="130" spans="1:15">
      <c r="D130" s="10" t="s">
        <v>27</v>
      </c>
      <c r="E130" s="56">
        <f>COUNTIF(O7:O121,"Anak Staff")</f>
        <v>6</v>
      </c>
    </row>
    <row r="131" spans="1:15">
      <c r="D131" s="10" t="s">
        <v>31</v>
      </c>
      <c r="E131" s="56">
        <f>COUNTIF(O8:O121,"orang pusat")</f>
        <v>0</v>
      </c>
    </row>
    <row r="133" spans="1:15" s="1" customFormat="1" ht="20.100000000000001" customHeight="1">
      <c r="A133" s="8">
        <v>36</v>
      </c>
      <c r="B133" s="57"/>
      <c r="C133" s="58"/>
      <c r="D133" s="10" t="s">
        <v>172</v>
      </c>
      <c r="E133" s="13" t="s">
        <v>29</v>
      </c>
      <c r="F133" s="8" t="s">
        <v>20</v>
      </c>
      <c r="G133" s="11">
        <v>9800000</v>
      </c>
      <c r="H133" s="12">
        <v>5000000</v>
      </c>
      <c r="I133" s="24">
        <v>2000000</v>
      </c>
      <c r="J133" s="24"/>
      <c r="K133" s="24"/>
      <c r="L133" s="24"/>
      <c r="M133" s="24">
        <f>G133-H133-I133-J133-K133-L133</f>
        <v>2800000</v>
      </c>
      <c r="N133" s="24" t="s">
        <v>67</v>
      </c>
      <c r="O133" s="10"/>
    </row>
    <row r="134" spans="1:15">
      <c r="A134" s="59"/>
      <c r="D134" s="59" t="s">
        <v>177</v>
      </c>
      <c r="E134" s="60" t="s">
        <v>29</v>
      </c>
      <c r="F134" s="59" t="s">
        <v>35</v>
      </c>
      <c r="G134" s="11">
        <v>9800000</v>
      </c>
      <c r="H134" s="12">
        <v>5000000</v>
      </c>
      <c r="I134" s="24">
        <v>4000000</v>
      </c>
      <c r="J134" s="59"/>
      <c r="K134" s="59"/>
      <c r="L134" s="59"/>
      <c r="M134" s="24">
        <f>G134-H134-I134-J134-K134-L134</f>
        <v>800000</v>
      </c>
      <c r="N134" s="24" t="s">
        <v>178</v>
      </c>
      <c r="O134" s="59"/>
    </row>
  </sheetData>
  <autoFilter ref="A5:O121" xr:uid="{00000000-0009-0000-0000-000001000000}"/>
  <mergeCells count="15">
    <mergeCell ref="A1:O1"/>
    <mergeCell ref="A2:O2"/>
    <mergeCell ref="H3:L3"/>
    <mergeCell ref="A128:B128"/>
    <mergeCell ref="C128:D128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</mergeCells>
  <pageMargins left="0.109722222222222" right="0.109722222222222" top="0.35763888888888901" bottom="0.35763888888888901" header="0.102083333333333" footer="0.102083333333333"/>
  <pageSetup paperSize="9" scale="80" fitToWidth="0" fitToHeight="0" orientation="landscape"/>
  <ignoredErrors>
    <ignoredError sqref="H121" formulaRange="1"/>
    <ignoredError sqref="M6:M7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Data</vt:lpstr>
      <vt:lpstr>Fixed Data</vt:lpstr>
      <vt:lpstr>'Fixed Data'!Print_Area</vt:lpstr>
      <vt:lpstr>'Master Data'!Print_Area</vt:lpstr>
      <vt:lpstr>'Fixed Data'!Print_Titles</vt:lpstr>
      <vt:lpstr>'Master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Lenovo L460</cp:lastModifiedBy>
  <dcterms:created xsi:type="dcterms:W3CDTF">2025-08-05T03:04:00Z</dcterms:created>
  <dcterms:modified xsi:type="dcterms:W3CDTF">2026-04-20T01:09:44Z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9C81F882D7944CAF810B1BC94E45A228_13</vt:lpwstr>
  </property>
  <property fmtid="{D5CDD505-2E9C-101B-9397-08002B2CF9AE}" pid="3" name="KSOProductBuildVer">
    <vt:lpwstr>1033-12.2.0.23196</vt:lpwstr>
  </property>
</Properties>
</file>