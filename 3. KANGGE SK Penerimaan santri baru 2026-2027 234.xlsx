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F:\1. Tata Usaha Al Andalus Ulul Al-Baab\Surat dan jenis surat\New folder\"/>
    </mc:Choice>
  </mc:AlternateContent>
  <xr:revisionPtr revIDLastSave="0" documentId="13_ncr:1_{4235EA93-BC92-4DCB-93B7-8CE059AB5F47}" xr6:coauthVersionLast="45" xr6:coauthVersionMax="45" xr10:uidLastSave="{00000000-0000-0000-0000-000000000000}"/>
  <bookViews>
    <workbookView xWindow="-120" yWindow="-120" windowWidth="20730" windowHeight="11160" tabRatio="770" activeTab="4" xr2:uid="{00000000-000D-0000-FFFF-FFFF00000000}"/>
  </bookViews>
  <sheets>
    <sheet name="MTs Putra" sheetId="5" r:id="rId1"/>
    <sheet name="MTs Putri" sheetId="6" r:id="rId2"/>
    <sheet name="IL Putra" sheetId="7" r:id="rId3"/>
    <sheet name="IL Putri" sheetId="8" r:id="rId4"/>
    <sheet name="Jumlah" sheetId="9" r:id="rId5"/>
    <sheet name="Sheet1" sheetId="10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10" l="1"/>
  <c r="C15" i="10"/>
  <c r="C14" i="10"/>
  <c r="C13" i="10"/>
  <c r="D9" i="9"/>
  <c r="D6" i="9"/>
  <c r="D8" i="9"/>
  <c r="D4" i="9"/>
  <c r="C10" i="9" l="1"/>
  <c r="C29" i="7" l="1"/>
  <c r="C30" i="6" l="1"/>
  <c r="C5" i="9" l="1"/>
  <c r="C18" i="8" l="1"/>
  <c r="C7" i="9" s="1"/>
  <c r="C6" i="9"/>
  <c r="C49" i="5"/>
  <c r="C4" i="9" s="1"/>
  <c r="C9" i="9" l="1"/>
</calcChain>
</file>

<file path=xl/sharedStrings.xml><?xml version="1.0" encoding="utf-8"?>
<sst xmlns="http://schemas.openxmlformats.org/spreadsheetml/2006/main" count="385" uniqueCount="238">
  <si>
    <t>No</t>
  </si>
  <si>
    <t>HILDA SAHLANNISA</t>
  </si>
  <si>
    <t>KEYZA QAIREEN</t>
  </si>
  <si>
    <t>AINA SYAHMINA GIVANI</t>
  </si>
  <si>
    <t>AISYAH</t>
  </si>
  <si>
    <t>ABU REIHAN AL FAJRI</t>
  </si>
  <si>
    <t>ADIBAH SAEFULLOH</t>
  </si>
  <si>
    <t>MUHAMAD UMAR ALI</t>
  </si>
  <si>
    <t>HANEEF ABDURAHMAN</t>
  </si>
  <si>
    <t>KSATRIA HUDZAIFAH AL MIZZI</t>
  </si>
  <si>
    <t>MUHAMMAD HILMY ILYASA RIZAL</t>
  </si>
  <si>
    <t>NAHNURIZKO NABHAN FARGHALI</t>
  </si>
  <si>
    <t>HANIFAH QURROTUL ’AIN</t>
  </si>
  <si>
    <t>SULTHAN FAQIH AL HADZIQ</t>
  </si>
  <si>
    <t>DAFFA TAAMIR ALFARIZI</t>
  </si>
  <si>
    <t>D250015</t>
  </si>
  <si>
    <t>SARAH AFIFA</t>
  </si>
  <si>
    <t>E250001</t>
  </si>
  <si>
    <t>IL Putri</t>
  </si>
  <si>
    <t>B250021</t>
  </si>
  <si>
    <t>IL Putra</t>
  </si>
  <si>
    <t>A250037</t>
  </si>
  <si>
    <t>MTs Putra</t>
  </si>
  <si>
    <t>B250003</t>
  </si>
  <si>
    <t>A250058</t>
  </si>
  <si>
    <t>WIDYA MEILANI ZAHRA</t>
  </si>
  <si>
    <t>KEANU AZKA WIBOWO</t>
  </si>
  <si>
    <t>MUHAMMAD ARKAN</t>
  </si>
  <si>
    <t xml:space="preserve">IHSAN ABDUL HAKIM </t>
  </si>
  <si>
    <t xml:space="preserve">YAHYA AZKA YA'SUB </t>
  </si>
  <si>
    <t>B250009</t>
  </si>
  <si>
    <t>AZKA ULINNUHA</t>
  </si>
  <si>
    <t>A250010</t>
  </si>
  <si>
    <t>A250028</t>
  </si>
  <si>
    <t>A250034</t>
  </si>
  <si>
    <t>B250005</t>
  </si>
  <si>
    <t>E250005</t>
  </si>
  <si>
    <t>SITI HAFSHOH SHOLIHAH</t>
  </si>
  <si>
    <t>E250007</t>
  </si>
  <si>
    <t>NADIRA SALSABILA APRILIANI</t>
  </si>
  <si>
    <t>MUHAMMAD ASYAM ABDULLAH</t>
  </si>
  <si>
    <t>SATRIA PANCA DESMARA</t>
  </si>
  <si>
    <t>ABUDZAR AL MAHBUB</t>
  </si>
  <si>
    <t>RAIHAN FARZIN</t>
  </si>
  <si>
    <t>D250007</t>
  </si>
  <si>
    <t>SITI AZIZAH</t>
  </si>
  <si>
    <t>D250026</t>
  </si>
  <si>
    <t>MTs Putri</t>
  </si>
  <si>
    <t>GRANADA KHANSA EL QIBTIYA</t>
  </si>
  <si>
    <t>D250008</t>
  </si>
  <si>
    <t>SHAKIRA NUR AISYAH</t>
  </si>
  <si>
    <t>D250004</t>
  </si>
  <si>
    <t>JANEETA CANDY HINATA</t>
  </si>
  <si>
    <t>D250011</t>
  </si>
  <si>
    <t>A250032</t>
  </si>
  <si>
    <t>ALESHA AZ ZAHRA SAPUTRA</t>
  </si>
  <si>
    <t>ARTKA HASBINA AZHUARY</t>
  </si>
  <si>
    <t>A250002</t>
  </si>
  <si>
    <t>Umar fawwaz</t>
  </si>
  <si>
    <t>A250033</t>
  </si>
  <si>
    <t>AZKA KHAIRUL ICHSAN HASUGIANA</t>
  </si>
  <si>
    <t>E250003</t>
  </si>
  <si>
    <t>NISRINA QURROTA AINI</t>
  </si>
  <si>
    <t>Farhan ibadurrohman</t>
  </si>
  <si>
    <t>B250018</t>
  </si>
  <si>
    <t>A250005</t>
  </si>
  <si>
    <t>Muhammad Raihan Alfawwaz</t>
  </si>
  <si>
    <t>A250054</t>
  </si>
  <si>
    <t>Muhammad Al-Fatih Fadhly</t>
  </si>
  <si>
    <t>D250027</t>
  </si>
  <si>
    <t>Ulfia Nurfauziah</t>
  </si>
  <si>
    <t>D250010</t>
  </si>
  <si>
    <t>Siti Fatimah Azzahra</t>
  </si>
  <si>
    <t>E250008</t>
  </si>
  <si>
    <t>Siti Arafah</t>
  </si>
  <si>
    <t>E250004</t>
  </si>
  <si>
    <t>adinda humaira</t>
  </si>
  <si>
    <t>A250015</t>
  </si>
  <si>
    <t>ARRAYYAN ABDUR RASHID</t>
  </si>
  <si>
    <t>D250022</t>
  </si>
  <si>
    <t>Hanifah azahra putri</t>
  </si>
  <si>
    <t>D250001</t>
  </si>
  <si>
    <t>Qisya Rahma Kamila</t>
  </si>
  <si>
    <t>A250017</t>
  </si>
  <si>
    <t>Akhdan Azkiya Mahdy</t>
  </si>
  <si>
    <t>D250017</t>
  </si>
  <si>
    <t>Qaesyara Siti Zafna Fitriyadi</t>
  </si>
  <si>
    <t>A250016</t>
  </si>
  <si>
    <t>Faeyza Izzatul Khairy</t>
  </si>
  <si>
    <t>D250024</t>
  </si>
  <si>
    <t>Hana Dwi Rinjani</t>
  </si>
  <si>
    <t>B250024</t>
  </si>
  <si>
    <t>Ahadan Nazka Harits</t>
  </si>
  <si>
    <t>A250051</t>
  </si>
  <si>
    <t>Khalid Muhammad Affiq</t>
  </si>
  <si>
    <t>C250004</t>
  </si>
  <si>
    <t>abdurraman umar</t>
  </si>
  <si>
    <t>C250009</t>
  </si>
  <si>
    <t>nizar</t>
  </si>
  <si>
    <t>VII</t>
  </si>
  <si>
    <t>A250018</t>
  </si>
  <si>
    <t>Muhamad Usman Ali</t>
  </si>
  <si>
    <t>A250003</t>
  </si>
  <si>
    <t>PUTRA PERDANA</t>
  </si>
  <si>
    <t>A250019</t>
  </si>
  <si>
    <t>Fatih kenzie dzulian anado</t>
  </si>
  <si>
    <t>Shafwan Iyadh Addarimy</t>
  </si>
  <si>
    <t>A250024</t>
  </si>
  <si>
    <t>Rizkia Aulia Az zahra</t>
  </si>
  <si>
    <t>D250013</t>
  </si>
  <si>
    <t>C250003</t>
  </si>
  <si>
    <t>Hibban Hibaturrahman</t>
  </si>
  <si>
    <t>C250016</t>
  </si>
  <si>
    <t>FATHAN SYAHRIL SUSENO</t>
  </si>
  <si>
    <t>C250023</t>
  </si>
  <si>
    <t>Muhammad irsyad</t>
  </si>
  <si>
    <t>C250018</t>
  </si>
  <si>
    <t>Kamil Iskandar</t>
  </si>
  <si>
    <t>Suhail Aiman</t>
  </si>
  <si>
    <t>A250045</t>
  </si>
  <si>
    <t>Abbas Raihan</t>
  </si>
  <si>
    <t>B250019</t>
  </si>
  <si>
    <t>Bisma adhi saputra</t>
  </si>
  <si>
    <t>B250028</t>
  </si>
  <si>
    <t>adlin ar rihaily</t>
  </si>
  <si>
    <t>D250020</t>
  </si>
  <si>
    <t>Zihan Muzainah Zein</t>
  </si>
  <si>
    <t>D250031</t>
  </si>
  <si>
    <t>Najla ulfa</t>
  </si>
  <si>
    <t>E250009</t>
  </si>
  <si>
    <t>Faruq Ahmad Asy-Syirbuni</t>
  </si>
  <si>
    <t>A250026</t>
  </si>
  <si>
    <t>Ahmad Kamaludi</t>
  </si>
  <si>
    <t>A250030</t>
  </si>
  <si>
    <t>Nidaul Husna</t>
  </si>
  <si>
    <t>F250003</t>
  </si>
  <si>
    <t>Unaysah</t>
  </si>
  <si>
    <t>F250002</t>
  </si>
  <si>
    <t>Naisya Tazqia Qolbi</t>
  </si>
  <si>
    <t>F250001</t>
  </si>
  <si>
    <t>A250031</t>
  </si>
  <si>
    <t>FATAN IHYA AS-SUNNAH</t>
  </si>
  <si>
    <t>A250084</t>
  </si>
  <si>
    <t>Rifqi Fathurrohman</t>
  </si>
  <si>
    <t>A250066</t>
  </si>
  <si>
    <t>Ambia Addaruqutni Julpasa</t>
  </si>
  <si>
    <t>A250055</t>
  </si>
  <si>
    <t>Kafie Arkan Rafiqi</t>
  </si>
  <si>
    <t>A250053</t>
  </si>
  <si>
    <t>Muhammad Kamil Athaillah Rizki</t>
  </si>
  <si>
    <t>A250038</t>
  </si>
  <si>
    <t>M. Rezza Putra Darma</t>
  </si>
  <si>
    <t>B250006</t>
  </si>
  <si>
    <t>Rezvan Zhian Agusto</t>
  </si>
  <si>
    <t>B250014</t>
  </si>
  <si>
    <t>FAIZ ABDUSSALAM TASLIM BUDIDOYO</t>
  </si>
  <si>
    <t>A250040</t>
  </si>
  <si>
    <t>Riyadi wirawan</t>
  </si>
  <si>
    <t>A250041</t>
  </si>
  <si>
    <t>SULTHON ABRISAM KARIM</t>
  </si>
  <si>
    <t>A250071</t>
  </si>
  <si>
    <t>RUWAIFI</t>
  </si>
  <si>
    <t>A250021</t>
  </si>
  <si>
    <t>Malka Firdaus Syarif</t>
  </si>
  <si>
    <t>B250001</t>
  </si>
  <si>
    <t>Donli Caesar Norton</t>
  </si>
  <si>
    <t>A250027</t>
  </si>
  <si>
    <t>Umar</t>
  </si>
  <si>
    <t>A250061</t>
  </si>
  <si>
    <t>Muhammad nizar</t>
  </si>
  <si>
    <t>D250012</t>
  </si>
  <si>
    <t>anastasya putri</t>
  </si>
  <si>
    <t>B250012</t>
  </si>
  <si>
    <t>salman alfarizi alamsyah</t>
  </si>
  <si>
    <t>E250006</t>
  </si>
  <si>
    <t>Azkia Salsabila</t>
  </si>
  <si>
    <t>A250057</t>
  </si>
  <si>
    <t>Hamzah aqil</t>
  </si>
  <si>
    <t>B250011</t>
  </si>
  <si>
    <t>Muhammad risky shapin</t>
  </si>
  <si>
    <t>A250036</t>
  </si>
  <si>
    <t>Khotibul syafiiq</t>
  </si>
  <si>
    <t>D250023</t>
  </si>
  <si>
    <t>Aisha Alifa Noor Attarini</t>
  </si>
  <si>
    <t>B250016</t>
  </si>
  <si>
    <t>Muhammad Naufal Rafif Athallah</t>
  </si>
  <si>
    <t>A250069</t>
  </si>
  <si>
    <t>Muhammad Syauqi Abdul Haq</t>
  </si>
  <si>
    <t>A250056</t>
  </si>
  <si>
    <t>Abdurrahman Dihyah Arrobi</t>
  </si>
  <si>
    <t>C250021</t>
  </si>
  <si>
    <t>Aditya Afhan Dhiyaulhaq Ilham</t>
  </si>
  <si>
    <t>B250029</t>
  </si>
  <si>
    <t>Naufal Taqqy hafifurrahman</t>
  </si>
  <si>
    <t>C250013</t>
  </si>
  <si>
    <t>Muhammad ghaza</t>
  </si>
  <si>
    <t>C250024</t>
  </si>
  <si>
    <t>ANANDA HEZKY FAYEZA</t>
  </si>
  <si>
    <t>A250073</t>
  </si>
  <si>
    <t>Ahmad vickhy wijaya</t>
  </si>
  <si>
    <t>A250062</t>
  </si>
  <si>
    <t>Muhamad Hamudi alfariji</t>
  </si>
  <si>
    <t>D250035</t>
  </si>
  <si>
    <t>Naisya Ashadiya Rusli</t>
  </si>
  <si>
    <t>D250034</t>
  </si>
  <si>
    <t xml:space="preserve">Aisha Salma Mutmainnah </t>
  </si>
  <si>
    <t>A250008</t>
  </si>
  <si>
    <t>E250002</t>
  </si>
  <si>
    <t>B250010</t>
  </si>
  <si>
    <t>D250009</t>
  </si>
  <si>
    <t>D250006</t>
  </si>
  <si>
    <t>D250005</t>
  </si>
  <si>
    <t>D250003</t>
  </si>
  <si>
    <t>D250002</t>
  </si>
  <si>
    <t>A250025</t>
  </si>
  <si>
    <t>A250020</t>
  </si>
  <si>
    <t>A250012</t>
  </si>
  <si>
    <t>A250014</t>
  </si>
  <si>
    <t>A250009</t>
  </si>
  <si>
    <t>A250046</t>
  </si>
  <si>
    <t>NP</t>
  </si>
  <si>
    <t>Nama</t>
  </si>
  <si>
    <t>Jenjang</t>
  </si>
  <si>
    <t xml:space="preserve">Jumlah </t>
  </si>
  <si>
    <t>MTS Putra</t>
  </si>
  <si>
    <t>FAKHIRA FAUZIAH</t>
  </si>
  <si>
    <t>NAHLA AZWA NURSYIFA</t>
  </si>
  <si>
    <t>Iklimah Mardhatillah</t>
  </si>
  <si>
    <t>Rumaisha Hanin Hanifah</t>
  </si>
  <si>
    <t>Hudzaifah Al Fawwaz</t>
  </si>
  <si>
    <t>Kelas 7A</t>
  </si>
  <si>
    <t>Kelas 7B</t>
  </si>
  <si>
    <t>Kelas VIII-A</t>
  </si>
  <si>
    <t>Kelas VIII-B</t>
  </si>
  <si>
    <t>Kelas IX</t>
  </si>
  <si>
    <t>IL</t>
  </si>
  <si>
    <t>X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</si>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</sst>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70C0"/>
      <name val="Times New Roman"/>
      <family val="1"/>
    </font>
    <font>
      <sz val="11"/>
      <color rgb="FF0070C0"/>
      <name val="Aptos Narrow"/>
      <family val="2"/>
      <scheme val="minor"/>
    </font>
    <font>
      <sz val="12"/>
      <color rgb="FF00B0F0"/>
      <name val="Times New Roman"/>
      <family val="1"/>
    </font>
    <font>
      <sz val="11"/>
      <color rgb="FF00B0F0"/>
      <name val="Aptos Narrow"/>
      <family val="2"/>
      <scheme val="minor"/>
    </font>
    <font>
      <sz val="12"/>
      <color theme="3" tint="0.499984740745262"/>
      <name val="Times New Roman"/>
      <family val="1"/>
    </font>
    <font>
      <sz val="11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4" fillId="0" borderId="0" xfId="0" applyFont="1"/>
    <xf numFmtId="0" fontId="1" fillId="2" borderId="0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3" fillId="2" borderId="0" xfId="0" applyFont="1" applyFill="1"/>
    <xf numFmtId="0" fontId="3" fillId="2" borderId="0" xfId="0" applyFont="1" applyFill="1" applyBorder="1" applyAlignment="1">
      <alignment horizontal="center" vertical="top" wrapText="1"/>
    </xf>
    <xf numFmtId="0" fontId="3" fillId="0" borderId="0" xfId="0" applyFont="1"/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center" wrapText="1"/>
    </xf>
    <xf numFmtId="0" fontId="6" fillId="0" borderId="0" xfId="0" applyFont="1"/>
    <xf numFmtId="0" fontId="5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wrapText="1"/>
    </xf>
    <xf numFmtId="0" fontId="8" fillId="0" borderId="0" xfId="0" applyFont="1"/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E65D-3AC8-4497-A1E1-C8167DE6E562}">
  <dimension ref="A1:E49"/>
  <sheetViews>
    <sheetView workbookViewId="0">
      <selection activeCell="C38" sqref="C38"/>
    </sheetView>
  </sheetViews>
  <sheetFormatPr defaultColWidth="11.125" defaultRowHeight="14.25"/>
  <cols>
    <col min="1" max="1" width="6.125" style="12" customWidth="1"/>
    <col min="3" max="3" width="35.625" customWidth="1"/>
    <col min="4" max="4" width="13.625" customWidth="1"/>
    <col min="6" max="6" width="16" bestFit="1" customWidth="1"/>
  </cols>
  <sheetData>
    <row r="1" spans="1:5" ht="15.75">
      <c r="A1" s="15" t="s">
        <v>0</v>
      </c>
      <c r="B1" s="16" t="s">
        <v>220</v>
      </c>
      <c r="C1" s="16" t="s">
        <v>221</v>
      </c>
      <c r="D1" s="16" t="s">
        <v>222</v>
      </c>
    </row>
    <row r="2" spans="1:5" s="23" customFormat="1" ht="15.75">
      <c r="A2" s="21">
        <v>1</v>
      </c>
      <c r="B2" s="25" t="s">
        <v>206</v>
      </c>
      <c r="C2" s="26" t="s">
        <v>14</v>
      </c>
      <c r="D2" s="25" t="s">
        <v>22</v>
      </c>
      <c r="E2" s="27"/>
    </row>
    <row r="3" spans="1:5" s="28" customFormat="1" ht="15.75">
      <c r="A3" s="21">
        <v>2</v>
      </c>
      <c r="B3" s="25" t="s">
        <v>214</v>
      </c>
      <c r="C3" s="26" t="s">
        <v>5</v>
      </c>
      <c r="D3" s="25" t="s">
        <v>22</v>
      </c>
      <c r="E3" s="27"/>
    </row>
    <row r="4" spans="1:5" s="23" customFormat="1" ht="15.75">
      <c r="A4" s="21">
        <v>3</v>
      </c>
      <c r="B4" s="25" t="s">
        <v>215</v>
      </c>
      <c r="C4" s="26" t="s">
        <v>7</v>
      </c>
      <c r="D4" s="25" t="s">
        <v>22</v>
      </c>
      <c r="E4" s="27"/>
    </row>
    <row r="5" spans="1:5" s="23" customFormat="1" ht="15.75">
      <c r="A5" s="21">
        <v>4</v>
      </c>
      <c r="B5" s="25" t="s">
        <v>216</v>
      </c>
      <c r="C5" s="26" t="s">
        <v>8</v>
      </c>
      <c r="D5" s="25" t="s">
        <v>22</v>
      </c>
      <c r="E5" s="27"/>
    </row>
    <row r="6" spans="1:5" s="23" customFormat="1" ht="15.75">
      <c r="A6" s="21">
        <v>5</v>
      </c>
      <c r="B6" s="27" t="s">
        <v>217</v>
      </c>
      <c r="C6" s="26" t="s">
        <v>10</v>
      </c>
      <c r="D6" s="27" t="s">
        <v>22</v>
      </c>
      <c r="E6" s="27"/>
    </row>
    <row r="7" spans="1:5" s="23" customFormat="1" ht="15.75">
      <c r="A7" s="21">
        <v>6</v>
      </c>
      <c r="B7" s="25" t="s">
        <v>218</v>
      </c>
      <c r="C7" s="26" t="s">
        <v>11</v>
      </c>
      <c r="D7" s="25" t="s">
        <v>22</v>
      </c>
      <c r="E7" s="27"/>
    </row>
    <row r="8" spans="1:5" s="23" customFormat="1" ht="15.75">
      <c r="A8" s="21">
        <v>7</v>
      </c>
      <c r="B8" s="25" t="s">
        <v>219</v>
      </c>
      <c r="C8" s="26" t="s">
        <v>13</v>
      </c>
      <c r="D8" s="25" t="s">
        <v>22</v>
      </c>
      <c r="E8" s="27"/>
    </row>
    <row r="9" spans="1:5" s="23" customFormat="1" ht="15.75">
      <c r="A9" s="21">
        <v>8</v>
      </c>
      <c r="B9" s="25" t="s">
        <v>21</v>
      </c>
      <c r="C9" s="26" t="s">
        <v>27</v>
      </c>
      <c r="D9" s="25" t="s">
        <v>22</v>
      </c>
      <c r="E9" s="27"/>
    </row>
    <row r="10" spans="1:5" s="47" customFormat="1" ht="15.75">
      <c r="A10" s="41">
        <v>9</v>
      </c>
      <c r="B10" s="42" t="s">
        <v>24</v>
      </c>
      <c r="C10" s="55" t="s">
        <v>29</v>
      </c>
      <c r="D10" s="42" t="s">
        <v>22</v>
      </c>
      <c r="E10" s="44"/>
    </row>
    <row r="11" spans="1:5" s="23" customFormat="1" ht="15.75">
      <c r="A11" s="21">
        <v>10</v>
      </c>
      <c r="B11" s="25" t="s">
        <v>32</v>
      </c>
      <c r="C11" s="26" t="s">
        <v>40</v>
      </c>
      <c r="D11" s="25" t="s">
        <v>22</v>
      </c>
      <c r="E11" s="27"/>
    </row>
    <row r="12" spans="1:5" s="23" customFormat="1" ht="15.75">
      <c r="A12" s="21">
        <v>11</v>
      </c>
      <c r="B12" s="25" t="s">
        <v>33</v>
      </c>
      <c r="C12" s="26" t="s">
        <v>41</v>
      </c>
      <c r="D12" s="25" t="s">
        <v>22</v>
      </c>
      <c r="E12" s="27"/>
    </row>
    <row r="13" spans="1:5" s="23" customFormat="1" ht="15.75">
      <c r="A13" s="21">
        <v>12</v>
      </c>
      <c r="B13" s="25" t="s">
        <v>34</v>
      </c>
      <c r="C13" s="26" t="s">
        <v>42</v>
      </c>
      <c r="D13" s="25" t="s">
        <v>22</v>
      </c>
      <c r="E13" s="27"/>
    </row>
    <row r="14" spans="1:5" s="23" customFormat="1" ht="15.75">
      <c r="A14" s="21">
        <v>13</v>
      </c>
      <c r="B14" s="25" t="s">
        <v>54</v>
      </c>
      <c r="C14" s="26" t="s">
        <v>56</v>
      </c>
      <c r="D14" s="30" t="s">
        <v>22</v>
      </c>
      <c r="E14" s="27"/>
    </row>
    <row r="15" spans="1:5" s="23" customFormat="1" ht="15.75">
      <c r="A15" s="21">
        <v>14</v>
      </c>
      <c r="B15" s="25" t="s">
        <v>57</v>
      </c>
      <c r="C15" s="31" t="s">
        <v>58</v>
      </c>
      <c r="D15" s="30" t="s">
        <v>22</v>
      </c>
      <c r="E15" s="27"/>
    </row>
    <row r="16" spans="1:5" s="23" customFormat="1" ht="15.75">
      <c r="A16" s="21">
        <v>15</v>
      </c>
      <c r="B16" s="25" t="s">
        <v>59</v>
      </c>
      <c r="C16" s="31" t="s">
        <v>60</v>
      </c>
      <c r="D16" s="30" t="s">
        <v>22</v>
      </c>
      <c r="E16" s="27"/>
    </row>
    <row r="17" spans="1:5" s="23" customFormat="1" ht="15.75">
      <c r="A17" s="21">
        <v>16</v>
      </c>
      <c r="B17" s="25" t="s">
        <v>65</v>
      </c>
      <c r="C17" s="29" t="s">
        <v>66</v>
      </c>
      <c r="D17" s="30" t="s">
        <v>22</v>
      </c>
      <c r="E17" s="27"/>
    </row>
    <row r="18" spans="1:5" s="23" customFormat="1" ht="15.75">
      <c r="A18" s="21">
        <v>17</v>
      </c>
      <c r="B18" s="25" t="s">
        <v>67</v>
      </c>
      <c r="C18" s="29" t="s">
        <v>68</v>
      </c>
      <c r="D18" s="30" t="s">
        <v>22</v>
      </c>
      <c r="E18" s="27"/>
    </row>
    <row r="19" spans="1:5" s="23" customFormat="1" ht="15.75">
      <c r="A19" s="21">
        <v>18</v>
      </c>
      <c r="B19" s="25" t="s">
        <v>77</v>
      </c>
      <c r="C19" s="29" t="s">
        <v>78</v>
      </c>
      <c r="D19" s="30" t="s">
        <v>22</v>
      </c>
      <c r="E19" s="27"/>
    </row>
    <row r="20" spans="1:5" s="23" customFormat="1" ht="15.75">
      <c r="A20" s="21">
        <v>19</v>
      </c>
      <c r="B20" s="25" t="s">
        <v>83</v>
      </c>
      <c r="C20" s="22" t="s">
        <v>84</v>
      </c>
      <c r="D20" s="30" t="s">
        <v>22</v>
      </c>
      <c r="E20" s="27"/>
    </row>
    <row r="21" spans="1:5" ht="15.75">
      <c r="A21" s="11">
        <v>20</v>
      </c>
      <c r="B21" s="4" t="s">
        <v>87</v>
      </c>
      <c r="C21" s="6" t="s">
        <v>88</v>
      </c>
      <c r="D21" s="8" t="s">
        <v>22</v>
      </c>
      <c r="E21" s="10"/>
    </row>
    <row r="22" spans="1:5" s="23" customFormat="1" ht="15.75">
      <c r="A22" s="21">
        <v>21</v>
      </c>
      <c r="B22" s="25" t="s">
        <v>93</v>
      </c>
      <c r="C22" s="31" t="s">
        <v>94</v>
      </c>
      <c r="D22" s="30" t="s">
        <v>22</v>
      </c>
      <c r="E22" s="27"/>
    </row>
    <row r="23" spans="1:5" s="23" customFormat="1" ht="15.75">
      <c r="A23" s="21">
        <v>22</v>
      </c>
      <c r="B23" s="22" t="s">
        <v>100</v>
      </c>
      <c r="C23" s="22" t="s">
        <v>101</v>
      </c>
      <c r="D23" s="30" t="s">
        <v>22</v>
      </c>
      <c r="E23" s="27" t="s">
        <v>99</v>
      </c>
    </row>
    <row r="24" spans="1:5" s="23" customFormat="1" ht="15.75">
      <c r="A24" s="21">
        <v>23</v>
      </c>
      <c r="B24" s="22" t="s">
        <v>102</v>
      </c>
      <c r="C24" s="22" t="s">
        <v>103</v>
      </c>
      <c r="D24" s="36" t="s">
        <v>22</v>
      </c>
      <c r="E24" s="27" t="s">
        <v>99</v>
      </c>
    </row>
    <row r="25" spans="1:5" s="23" customFormat="1" ht="15.75">
      <c r="A25" s="21">
        <v>24</v>
      </c>
      <c r="B25" s="22" t="s">
        <v>104</v>
      </c>
      <c r="C25" s="22" t="s">
        <v>105</v>
      </c>
      <c r="D25" s="36" t="s">
        <v>22</v>
      </c>
      <c r="E25" s="27" t="s">
        <v>99</v>
      </c>
    </row>
    <row r="26" spans="1:5" s="23" customFormat="1" ht="15.75">
      <c r="A26" s="21">
        <v>25</v>
      </c>
      <c r="B26" s="22" t="s">
        <v>107</v>
      </c>
      <c r="C26" s="22" t="s">
        <v>106</v>
      </c>
      <c r="D26" s="30" t="s">
        <v>22</v>
      </c>
      <c r="E26" s="27" t="s">
        <v>99</v>
      </c>
    </row>
    <row r="27" spans="1:5" s="23" customFormat="1" ht="15.75">
      <c r="A27" s="21">
        <v>26</v>
      </c>
      <c r="B27" s="22" t="s">
        <v>119</v>
      </c>
      <c r="C27" s="22" t="s">
        <v>118</v>
      </c>
      <c r="D27" s="30" t="s">
        <v>22</v>
      </c>
      <c r="E27" s="21" t="s">
        <v>99</v>
      </c>
    </row>
    <row r="28" spans="1:5" s="23" customFormat="1" ht="15.75">
      <c r="A28" s="21">
        <v>27</v>
      </c>
      <c r="B28" s="22" t="s">
        <v>131</v>
      </c>
      <c r="C28" s="22" t="s">
        <v>130</v>
      </c>
      <c r="D28" s="30" t="s">
        <v>22</v>
      </c>
      <c r="E28" s="21" t="s">
        <v>99</v>
      </c>
    </row>
    <row r="29" spans="1:5" s="23" customFormat="1" ht="15.75">
      <c r="A29" s="21">
        <v>28</v>
      </c>
      <c r="B29" s="22" t="s">
        <v>133</v>
      </c>
      <c r="C29" s="22" t="s">
        <v>132</v>
      </c>
      <c r="D29" s="30" t="s">
        <v>22</v>
      </c>
      <c r="E29" s="21" t="s">
        <v>99</v>
      </c>
    </row>
    <row r="30" spans="1:5" s="47" customFormat="1" ht="15.75">
      <c r="A30" s="41">
        <v>29</v>
      </c>
      <c r="B30" s="43" t="s">
        <v>140</v>
      </c>
      <c r="C30" s="48" t="s">
        <v>141</v>
      </c>
      <c r="D30" s="52" t="s">
        <v>22</v>
      </c>
      <c r="E30" s="41" t="s">
        <v>99</v>
      </c>
    </row>
    <row r="31" spans="1:5" ht="15.75">
      <c r="A31" s="11">
        <v>30</v>
      </c>
      <c r="B31" s="3" t="s">
        <v>142</v>
      </c>
      <c r="C31" s="6" t="s">
        <v>143</v>
      </c>
      <c r="D31" s="53" t="s">
        <v>22</v>
      </c>
      <c r="E31" s="11" t="s">
        <v>99</v>
      </c>
    </row>
    <row r="32" spans="1:5" s="23" customFormat="1" ht="15.75">
      <c r="A32" s="21">
        <v>31</v>
      </c>
      <c r="B32" s="22" t="s">
        <v>144</v>
      </c>
      <c r="C32" s="22" t="s">
        <v>145</v>
      </c>
      <c r="D32" s="30" t="s">
        <v>22</v>
      </c>
      <c r="E32" s="21" t="s">
        <v>99</v>
      </c>
    </row>
    <row r="33" spans="1:5" s="23" customFormat="1" ht="15.75">
      <c r="A33" s="21">
        <v>32</v>
      </c>
      <c r="B33" s="22" t="s">
        <v>146</v>
      </c>
      <c r="C33" s="22" t="s">
        <v>147</v>
      </c>
      <c r="D33" s="30" t="s">
        <v>22</v>
      </c>
      <c r="E33" s="21" t="s">
        <v>99</v>
      </c>
    </row>
    <row r="34" spans="1:5" s="23" customFormat="1" ht="15.75">
      <c r="A34" s="21">
        <v>33</v>
      </c>
      <c r="B34" s="22" t="s">
        <v>148</v>
      </c>
      <c r="C34" s="22" t="s">
        <v>149</v>
      </c>
      <c r="D34" s="30" t="s">
        <v>22</v>
      </c>
      <c r="E34" s="21" t="s">
        <v>99</v>
      </c>
    </row>
    <row r="35" spans="1:5" ht="15.75">
      <c r="A35" s="11">
        <v>34</v>
      </c>
      <c r="B35" s="3" t="s">
        <v>150</v>
      </c>
      <c r="C35" s="3" t="s">
        <v>151</v>
      </c>
      <c r="D35" s="8" t="s">
        <v>22</v>
      </c>
      <c r="E35" s="11" t="s">
        <v>99</v>
      </c>
    </row>
    <row r="36" spans="1:5" s="47" customFormat="1" ht="15.75">
      <c r="A36" s="41">
        <v>35</v>
      </c>
      <c r="B36" s="43" t="s">
        <v>156</v>
      </c>
      <c r="C36" s="43" t="s">
        <v>157</v>
      </c>
      <c r="D36" s="46" t="s">
        <v>22</v>
      </c>
      <c r="E36" s="41" t="s">
        <v>99</v>
      </c>
    </row>
    <row r="37" spans="1:5" s="23" customFormat="1" ht="15.75">
      <c r="A37" s="21">
        <v>36</v>
      </c>
      <c r="B37" s="22" t="s">
        <v>158</v>
      </c>
      <c r="C37" s="22" t="s">
        <v>159</v>
      </c>
      <c r="D37" s="30" t="s">
        <v>22</v>
      </c>
      <c r="E37" s="21" t="s">
        <v>99</v>
      </c>
    </row>
    <row r="38" spans="1:5" s="51" customFormat="1" ht="15.75">
      <c r="A38" s="49">
        <v>37</v>
      </c>
      <c r="B38" s="50" t="s">
        <v>160</v>
      </c>
      <c r="C38" s="50" t="s">
        <v>161</v>
      </c>
      <c r="D38" s="54" t="s">
        <v>22</v>
      </c>
      <c r="E38" s="49" t="s">
        <v>99</v>
      </c>
    </row>
    <row r="39" spans="1:5" ht="15.75">
      <c r="A39" s="11">
        <v>38</v>
      </c>
      <c r="B39" s="3" t="s">
        <v>162</v>
      </c>
      <c r="C39" s="3" t="s">
        <v>163</v>
      </c>
      <c r="D39" s="8" t="s">
        <v>22</v>
      </c>
      <c r="E39" s="11" t="s">
        <v>99</v>
      </c>
    </row>
    <row r="40" spans="1:5" s="23" customFormat="1" ht="15.75">
      <c r="A40" s="21">
        <v>39</v>
      </c>
      <c r="B40" s="22" t="s">
        <v>166</v>
      </c>
      <c r="C40" s="22" t="s">
        <v>167</v>
      </c>
      <c r="D40" s="30" t="s">
        <v>22</v>
      </c>
      <c r="E40" s="21" t="s">
        <v>99</v>
      </c>
    </row>
    <row r="41" spans="1:5" ht="15.75">
      <c r="A41" s="11">
        <v>40</v>
      </c>
      <c r="B41" s="3" t="s">
        <v>168</v>
      </c>
      <c r="C41" s="3" t="s">
        <v>169</v>
      </c>
      <c r="D41" s="8" t="s">
        <v>22</v>
      </c>
      <c r="E41" s="11" t="s">
        <v>99</v>
      </c>
    </row>
    <row r="42" spans="1:5" s="23" customFormat="1" ht="15.75">
      <c r="A42" s="21">
        <v>41</v>
      </c>
      <c r="B42" s="22" t="s">
        <v>176</v>
      </c>
      <c r="C42" s="22" t="s">
        <v>177</v>
      </c>
      <c r="D42" s="30" t="s">
        <v>22</v>
      </c>
      <c r="E42" s="21" t="s">
        <v>99</v>
      </c>
    </row>
    <row r="43" spans="1:5" s="23" customFormat="1" ht="15.75">
      <c r="A43" s="21">
        <v>42</v>
      </c>
      <c r="B43" s="22" t="s">
        <v>180</v>
      </c>
      <c r="C43" s="22" t="s">
        <v>181</v>
      </c>
      <c r="D43" s="30" t="s">
        <v>22</v>
      </c>
      <c r="E43" s="21" t="s">
        <v>99</v>
      </c>
    </row>
    <row r="44" spans="1:5" s="23" customFormat="1" ht="15.75">
      <c r="A44" s="21">
        <v>43</v>
      </c>
      <c r="B44" s="22" t="s">
        <v>186</v>
      </c>
      <c r="C44" s="22" t="s">
        <v>187</v>
      </c>
      <c r="D44" s="30" t="s">
        <v>22</v>
      </c>
      <c r="E44" s="21" t="s">
        <v>99</v>
      </c>
    </row>
    <row r="45" spans="1:5" s="23" customFormat="1" ht="15.75">
      <c r="A45" s="11">
        <v>44</v>
      </c>
      <c r="B45" s="22" t="s">
        <v>188</v>
      </c>
      <c r="C45" s="22" t="s">
        <v>189</v>
      </c>
      <c r="D45" s="30" t="s">
        <v>22</v>
      </c>
      <c r="E45" s="21" t="s">
        <v>99</v>
      </c>
    </row>
    <row r="46" spans="1:5" ht="15.75">
      <c r="A46" s="11">
        <v>45</v>
      </c>
      <c r="B46" s="8" t="s">
        <v>198</v>
      </c>
      <c r="C46" s="3" t="s">
        <v>199</v>
      </c>
      <c r="D46" s="8" t="s">
        <v>22</v>
      </c>
      <c r="E46" s="11" t="s">
        <v>99</v>
      </c>
    </row>
    <row r="47" spans="1:5" s="23" customFormat="1" ht="15.75">
      <c r="A47" s="21">
        <v>46</v>
      </c>
      <c r="B47" s="30" t="s">
        <v>200</v>
      </c>
      <c r="C47" s="22" t="s">
        <v>201</v>
      </c>
      <c r="D47" s="30" t="s">
        <v>22</v>
      </c>
      <c r="E47" s="21" t="s">
        <v>99</v>
      </c>
    </row>
    <row r="49" spans="3:3">
      <c r="C49">
        <f>COUNTA(C2:C48)</f>
        <v>46</v>
      </c>
    </row>
  </sheetData>
  <pageMargins left="0.70866141732283472" right="0.70866141732283472" top="0.74803149606299213" bottom="0.74803149606299213" header="0.31496062992125984" footer="0.31496062992125984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264A-0078-4319-912E-E8B5D8770E10}">
  <dimension ref="A1:E30"/>
  <sheetViews>
    <sheetView topLeftCell="A10" workbookViewId="0">
      <selection activeCell="C16" sqref="C16"/>
    </sheetView>
  </sheetViews>
  <sheetFormatPr defaultRowHeight="15.75"/>
  <cols>
    <col min="1" max="1" width="4.75" style="13" customWidth="1"/>
    <col min="2" max="2" width="13" style="1" customWidth="1"/>
    <col min="3" max="3" width="32.375" style="1" customWidth="1"/>
    <col min="4" max="5" width="15" style="1" customWidth="1"/>
    <col min="6" max="16384" width="9" style="1"/>
  </cols>
  <sheetData>
    <row r="1" spans="1:5">
      <c r="A1" s="15" t="s">
        <v>0</v>
      </c>
      <c r="B1" s="16" t="s">
        <v>220</v>
      </c>
      <c r="C1" s="16" t="s">
        <v>221</v>
      </c>
      <c r="D1" s="16" t="s">
        <v>222</v>
      </c>
      <c r="E1" s="17"/>
    </row>
    <row r="2" spans="1:5" s="34" customFormat="1">
      <c r="A2" s="21">
        <v>1</v>
      </c>
      <c r="B2" s="25" t="s">
        <v>209</v>
      </c>
      <c r="C2" s="26" t="s">
        <v>2</v>
      </c>
      <c r="D2" s="25" t="s">
        <v>47</v>
      </c>
      <c r="E2" s="33"/>
    </row>
    <row r="3" spans="1:5" s="34" customFormat="1">
      <c r="A3" s="21">
        <v>2</v>
      </c>
      <c r="B3" s="25" t="s">
        <v>210</v>
      </c>
      <c r="C3" s="26" t="s">
        <v>3</v>
      </c>
      <c r="D3" s="25" t="s">
        <v>47</v>
      </c>
      <c r="E3" s="33"/>
    </row>
    <row r="4" spans="1:5" s="34" customFormat="1">
      <c r="A4" s="21">
        <v>3</v>
      </c>
      <c r="B4" s="25" t="s">
        <v>211</v>
      </c>
      <c r="C4" s="26" t="s">
        <v>4</v>
      </c>
      <c r="D4" s="25" t="s">
        <v>47</v>
      </c>
      <c r="E4" s="33"/>
    </row>
    <row r="5" spans="1:5" s="34" customFormat="1">
      <c r="A5" s="21">
        <v>4</v>
      </c>
      <c r="B5" s="25" t="s">
        <v>212</v>
      </c>
      <c r="C5" s="26" t="s">
        <v>6</v>
      </c>
      <c r="D5" s="25" t="s">
        <v>47</v>
      </c>
      <c r="E5" s="33"/>
    </row>
    <row r="6" spans="1:5">
      <c r="A6" s="11">
        <v>5</v>
      </c>
      <c r="B6" s="4" t="s">
        <v>213</v>
      </c>
      <c r="C6" s="5" t="s">
        <v>12</v>
      </c>
      <c r="D6" s="4" t="s">
        <v>47</v>
      </c>
      <c r="E6" s="18"/>
    </row>
    <row r="7" spans="1:5" s="34" customFormat="1">
      <c r="A7" s="21">
        <v>6</v>
      </c>
      <c r="B7" s="25" t="s">
        <v>15</v>
      </c>
      <c r="C7" s="26" t="s">
        <v>16</v>
      </c>
      <c r="D7" s="25" t="s">
        <v>47</v>
      </c>
      <c r="E7" s="33"/>
    </row>
    <row r="8" spans="1:5" s="34" customFormat="1">
      <c r="A8" s="21">
        <v>7</v>
      </c>
      <c r="B8" s="25" t="s">
        <v>44</v>
      </c>
      <c r="C8" s="26" t="s">
        <v>45</v>
      </c>
      <c r="D8" s="25" t="s">
        <v>47</v>
      </c>
      <c r="E8" s="33"/>
    </row>
    <row r="9" spans="1:5">
      <c r="A9" s="11">
        <v>8</v>
      </c>
      <c r="B9" s="4" t="s">
        <v>46</v>
      </c>
      <c r="C9" s="5" t="s">
        <v>48</v>
      </c>
      <c r="D9" s="4" t="s">
        <v>47</v>
      </c>
      <c r="E9" s="18"/>
    </row>
    <row r="10" spans="1:5" s="34" customFormat="1">
      <c r="A10" s="21">
        <v>9</v>
      </c>
      <c r="B10" s="25" t="s">
        <v>49</v>
      </c>
      <c r="C10" s="26" t="s">
        <v>50</v>
      </c>
      <c r="D10" s="36" t="s">
        <v>47</v>
      </c>
      <c r="E10" s="39"/>
    </row>
    <row r="11" spans="1:5" s="34" customFormat="1">
      <c r="A11" s="21">
        <v>10</v>
      </c>
      <c r="B11" s="25" t="s">
        <v>51</v>
      </c>
      <c r="C11" s="31" t="s">
        <v>52</v>
      </c>
      <c r="D11" s="36" t="s">
        <v>47</v>
      </c>
      <c r="E11" s="39"/>
    </row>
    <row r="12" spans="1:5" s="34" customFormat="1">
      <c r="A12" s="21">
        <v>11</v>
      </c>
      <c r="B12" s="25" t="s">
        <v>53</v>
      </c>
      <c r="C12" s="26" t="s">
        <v>55</v>
      </c>
      <c r="D12" s="30" t="s">
        <v>47</v>
      </c>
      <c r="E12" s="38"/>
    </row>
    <row r="13" spans="1:5" s="34" customFormat="1">
      <c r="A13" s="21">
        <v>12</v>
      </c>
      <c r="B13" s="25" t="s">
        <v>69</v>
      </c>
      <c r="C13" s="29" t="s">
        <v>70</v>
      </c>
      <c r="D13" s="27" t="s">
        <v>47</v>
      </c>
      <c r="E13" s="35"/>
    </row>
    <row r="14" spans="1:5" s="34" customFormat="1">
      <c r="A14" s="21">
        <v>13</v>
      </c>
      <c r="B14" s="25" t="s">
        <v>71</v>
      </c>
      <c r="C14" s="29" t="s">
        <v>72</v>
      </c>
      <c r="D14" s="27" t="s">
        <v>47</v>
      </c>
      <c r="E14" s="35"/>
    </row>
    <row r="15" spans="1:5" s="34" customFormat="1">
      <c r="A15" s="21">
        <v>14</v>
      </c>
      <c r="B15" s="25" t="s">
        <v>81</v>
      </c>
      <c r="C15" s="22" t="s">
        <v>82</v>
      </c>
      <c r="D15" s="27" t="s">
        <v>47</v>
      </c>
      <c r="E15" s="35"/>
    </row>
    <row r="16" spans="1:5" s="34" customFormat="1">
      <c r="A16" s="21">
        <v>15</v>
      </c>
      <c r="B16" s="25" t="s">
        <v>79</v>
      </c>
      <c r="C16" s="29" t="s">
        <v>80</v>
      </c>
      <c r="D16" s="27" t="s">
        <v>47</v>
      </c>
      <c r="E16" s="35"/>
    </row>
    <row r="17" spans="1:5" s="34" customFormat="1">
      <c r="A17" s="21">
        <v>16</v>
      </c>
      <c r="B17" s="25" t="s">
        <v>85</v>
      </c>
      <c r="C17" s="22" t="s">
        <v>86</v>
      </c>
      <c r="D17" s="27" t="s">
        <v>47</v>
      </c>
      <c r="E17" s="35"/>
    </row>
    <row r="18" spans="1:5">
      <c r="A18" s="11">
        <v>17</v>
      </c>
      <c r="B18" s="4" t="s">
        <v>89</v>
      </c>
      <c r="C18" s="6" t="s">
        <v>90</v>
      </c>
      <c r="D18" s="10" t="s">
        <v>47</v>
      </c>
      <c r="E18" s="19"/>
    </row>
    <row r="19" spans="1:5">
      <c r="A19" s="11">
        <v>18</v>
      </c>
      <c r="B19" s="8" t="s">
        <v>109</v>
      </c>
      <c r="C19" s="3" t="s">
        <v>108</v>
      </c>
      <c r="D19" s="10" t="s">
        <v>47</v>
      </c>
      <c r="E19" s="19"/>
    </row>
    <row r="20" spans="1:5">
      <c r="A20" s="11">
        <v>19</v>
      </c>
      <c r="B20" s="8" t="s">
        <v>125</v>
      </c>
      <c r="C20" s="3" t="s">
        <v>124</v>
      </c>
      <c r="D20" s="10" t="s">
        <v>47</v>
      </c>
      <c r="E20" s="19"/>
    </row>
    <row r="21" spans="1:5" s="34" customFormat="1">
      <c r="A21" s="21">
        <v>20</v>
      </c>
      <c r="B21" s="30" t="s">
        <v>127</v>
      </c>
      <c r="C21" s="22" t="s">
        <v>126</v>
      </c>
      <c r="D21" s="27" t="s">
        <v>47</v>
      </c>
      <c r="E21" s="35"/>
    </row>
    <row r="22" spans="1:5" s="34" customFormat="1">
      <c r="A22" s="21">
        <v>21</v>
      </c>
      <c r="B22" s="30" t="s">
        <v>170</v>
      </c>
      <c r="C22" s="22" t="s">
        <v>171</v>
      </c>
      <c r="D22" s="27" t="s">
        <v>47</v>
      </c>
      <c r="E22" s="35"/>
    </row>
    <row r="23" spans="1:5" s="34" customFormat="1">
      <c r="A23" s="21">
        <v>22</v>
      </c>
      <c r="B23" s="30" t="s">
        <v>182</v>
      </c>
      <c r="C23" s="22" t="s">
        <v>183</v>
      </c>
      <c r="D23" s="27" t="s">
        <v>47</v>
      </c>
      <c r="E23" s="35"/>
    </row>
    <row r="24" spans="1:5" s="32" customFormat="1">
      <c r="A24" s="21">
        <v>23</v>
      </c>
      <c r="B24" s="36" t="s">
        <v>202</v>
      </c>
      <c r="C24" s="31" t="s">
        <v>203</v>
      </c>
      <c r="D24" s="21" t="s">
        <v>47</v>
      </c>
      <c r="E24" s="37"/>
    </row>
    <row r="25" spans="1:5" s="34" customFormat="1">
      <c r="A25" s="21">
        <v>24</v>
      </c>
      <c r="B25" s="36" t="s">
        <v>204</v>
      </c>
      <c r="C25" s="31" t="s">
        <v>205</v>
      </c>
      <c r="D25" s="21" t="s">
        <v>47</v>
      </c>
      <c r="E25" s="37"/>
    </row>
    <row r="26" spans="1:5">
      <c r="A26" s="11">
        <v>25</v>
      </c>
      <c r="C26" s="1" t="s">
        <v>225</v>
      </c>
      <c r="D26" s="11" t="s">
        <v>47</v>
      </c>
    </row>
    <row r="27" spans="1:5" s="34" customFormat="1">
      <c r="A27" s="21">
        <v>26</v>
      </c>
      <c r="C27" s="34" t="s">
        <v>226</v>
      </c>
      <c r="D27" s="21" t="s">
        <v>47</v>
      </c>
    </row>
    <row r="28" spans="1:5">
      <c r="A28" s="11">
        <v>27</v>
      </c>
    </row>
    <row r="29" spans="1:5">
      <c r="A29" s="11">
        <v>28</v>
      </c>
    </row>
    <row r="30" spans="1:5">
      <c r="C30">
        <f>COUNTA(C2:C29)</f>
        <v>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37E6-FA34-47B1-B4DD-08D32B235666}">
  <dimension ref="A1:D29"/>
  <sheetViews>
    <sheetView topLeftCell="A10" workbookViewId="0">
      <selection activeCell="C24" sqref="C24"/>
    </sheetView>
  </sheetViews>
  <sheetFormatPr defaultRowHeight="14.25"/>
  <cols>
    <col min="1" max="1" width="4.25" style="12" customWidth="1"/>
    <col min="2" max="2" width="11.375" style="9" customWidth="1"/>
    <col min="3" max="3" width="41.625" customWidth="1"/>
    <col min="4" max="4" width="13.875" style="12" customWidth="1"/>
  </cols>
  <sheetData>
    <row r="1" spans="1:4" ht="15.75">
      <c r="A1" s="15" t="s">
        <v>0</v>
      </c>
      <c r="B1" s="16" t="s">
        <v>220</v>
      </c>
      <c r="C1" s="16" t="s">
        <v>221</v>
      </c>
      <c r="D1" s="15" t="s">
        <v>222</v>
      </c>
    </row>
    <row r="2" spans="1:4" s="23" customFormat="1" ht="15.75">
      <c r="A2" s="21">
        <v>1</v>
      </c>
      <c r="B2" s="25" t="s">
        <v>208</v>
      </c>
      <c r="C2" s="26" t="s">
        <v>9</v>
      </c>
      <c r="D2" s="27" t="s">
        <v>20</v>
      </c>
    </row>
    <row r="3" spans="1:4" s="23" customFormat="1" ht="15.75">
      <c r="A3" s="21">
        <v>2</v>
      </c>
      <c r="B3" s="25" t="s">
        <v>19</v>
      </c>
      <c r="C3" s="26" t="s">
        <v>26</v>
      </c>
      <c r="D3" s="27" t="s">
        <v>20</v>
      </c>
    </row>
    <row r="4" spans="1:4" s="23" customFormat="1" ht="15.75">
      <c r="A4" s="21">
        <v>3</v>
      </c>
      <c r="B4" s="25" t="s">
        <v>23</v>
      </c>
      <c r="C4" s="26" t="s">
        <v>28</v>
      </c>
      <c r="D4" s="27" t="s">
        <v>20</v>
      </c>
    </row>
    <row r="5" spans="1:4" s="23" customFormat="1" ht="15.75">
      <c r="A5" s="21">
        <v>4</v>
      </c>
      <c r="B5" s="25" t="s">
        <v>30</v>
      </c>
      <c r="C5" s="26" t="s">
        <v>31</v>
      </c>
      <c r="D5" s="27" t="s">
        <v>20</v>
      </c>
    </row>
    <row r="6" spans="1:4" s="23" customFormat="1" ht="15.75">
      <c r="A6" s="21">
        <v>5</v>
      </c>
      <c r="B6" s="25" t="s">
        <v>35</v>
      </c>
      <c r="C6" s="26" t="s">
        <v>43</v>
      </c>
      <c r="D6" s="27" t="s">
        <v>20</v>
      </c>
    </row>
    <row r="7" spans="1:4" s="23" customFormat="1" ht="15.75">
      <c r="A7" s="21">
        <v>6</v>
      </c>
      <c r="B7" s="25" t="s">
        <v>64</v>
      </c>
      <c r="C7" s="31" t="s">
        <v>63</v>
      </c>
      <c r="D7" s="27" t="s">
        <v>20</v>
      </c>
    </row>
    <row r="8" spans="1:4" s="23" customFormat="1" ht="15.75">
      <c r="A8" s="21">
        <v>7</v>
      </c>
      <c r="B8" s="25" t="s">
        <v>91</v>
      </c>
      <c r="C8" s="31" t="s">
        <v>92</v>
      </c>
      <c r="D8" s="27" t="s">
        <v>20</v>
      </c>
    </row>
    <row r="9" spans="1:4" s="23" customFormat="1" ht="15.75">
      <c r="A9" s="21">
        <v>8</v>
      </c>
      <c r="B9" s="25" t="s">
        <v>95</v>
      </c>
      <c r="C9" s="22" t="s">
        <v>96</v>
      </c>
      <c r="D9" s="27" t="s">
        <v>20</v>
      </c>
    </row>
    <row r="10" spans="1:4" s="23" customFormat="1" ht="15.75">
      <c r="A10" s="21">
        <v>9</v>
      </c>
      <c r="B10" s="25" t="s">
        <v>97</v>
      </c>
      <c r="C10" s="22" t="s">
        <v>98</v>
      </c>
      <c r="D10" s="27" t="s">
        <v>20</v>
      </c>
    </row>
    <row r="11" spans="1:4" s="23" customFormat="1" ht="15.75">
      <c r="A11" s="21">
        <v>10</v>
      </c>
      <c r="B11" s="30" t="s">
        <v>110</v>
      </c>
      <c r="C11" s="22" t="s">
        <v>111</v>
      </c>
      <c r="D11" s="27" t="s">
        <v>20</v>
      </c>
    </row>
    <row r="12" spans="1:4" s="23" customFormat="1" ht="15.75">
      <c r="A12" s="21">
        <v>11</v>
      </c>
      <c r="B12" s="30" t="s">
        <v>112</v>
      </c>
      <c r="C12" s="22" t="s">
        <v>113</v>
      </c>
      <c r="D12" s="27" t="s">
        <v>20</v>
      </c>
    </row>
    <row r="13" spans="1:4" s="23" customFormat="1" ht="15.75">
      <c r="A13" s="21">
        <v>12</v>
      </c>
      <c r="B13" s="30" t="s">
        <v>114</v>
      </c>
      <c r="C13" s="22" t="s">
        <v>115</v>
      </c>
      <c r="D13" s="27" t="s">
        <v>20</v>
      </c>
    </row>
    <row r="14" spans="1:4" s="23" customFormat="1" ht="15.75">
      <c r="A14" s="21">
        <v>13</v>
      </c>
      <c r="B14" s="30" t="s">
        <v>121</v>
      </c>
      <c r="C14" s="22" t="s">
        <v>120</v>
      </c>
      <c r="D14" s="27" t="s">
        <v>20</v>
      </c>
    </row>
    <row r="15" spans="1:4" s="23" customFormat="1" ht="15.75">
      <c r="A15" s="21">
        <v>14</v>
      </c>
      <c r="B15" s="30" t="s">
        <v>123</v>
      </c>
      <c r="C15" s="22" t="s">
        <v>122</v>
      </c>
      <c r="D15" s="27" t="s">
        <v>20</v>
      </c>
    </row>
    <row r="16" spans="1:4" s="23" customFormat="1" ht="15.75">
      <c r="A16" s="21">
        <v>15</v>
      </c>
      <c r="B16" s="30" t="s">
        <v>152</v>
      </c>
      <c r="C16" s="22" t="s">
        <v>153</v>
      </c>
      <c r="D16" s="27" t="s">
        <v>20</v>
      </c>
    </row>
    <row r="17" spans="1:4" s="23" customFormat="1" ht="15.75">
      <c r="A17" s="21">
        <v>16</v>
      </c>
      <c r="B17" s="30" t="s">
        <v>154</v>
      </c>
      <c r="C17" s="22" t="s">
        <v>155</v>
      </c>
      <c r="D17" s="27" t="s">
        <v>20</v>
      </c>
    </row>
    <row r="18" spans="1:4" s="23" customFormat="1" ht="15.75">
      <c r="A18" s="21">
        <v>17</v>
      </c>
      <c r="B18" s="30" t="s">
        <v>164</v>
      </c>
      <c r="C18" s="22" t="s">
        <v>165</v>
      </c>
      <c r="D18" s="27" t="s">
        <v>20</v>
      </c>
    </row>
    <row r="19" spans="1:4" s="23" customFormat="1" ht="15.75">
      <c r="A19" s="21">
        <v>18</v>
      </c>
      <c r="B19" s="30" t="s">
        <v>172</v>
      </c>
      <c r="C19" s="22" t="s">
        <v>173</v>
      </c>
      <c r="D19" s="27" t="s">
        <v>20</v>
      </c>
    </row>
    <row r="20" spans="1:4" s="47" customFormat="1" ht="15.75">
      <c r="A20" s="41">
        <v>19</v>
      </c>
      <c r="B20" s="46" t="s">
        <v>178</v>
      </c>
      <c r="C20" s="43" t="s">
        <v>179</v>
      </c>
      <c r="D20" s="44" t="s">
        <v>20</v>
      </c>
    </row>
    <row r="21" spans="1:4" s="23" customFormat="1" ht="15.75">
      <c r="A21" s="21">
        <v>20</v>
      </c>
      <c r="B21" s="30" t="s">
        <v>184</v>
      </c>
      <c r="C21" s="22" t="s">
        <v>185</v>
      </c>
      <c r="D21" s="27" t="s">
        <v>20</v>
      </c>
    </row>
    <row r="22" spans="1:4" s="23" customFormat="1" ht="15.75">
      <c r="A22" s="21">
        <v>21</v>
      </c>
      <c r="B22" s="30" t="s">
        <v>190</v>
      </c>
      <c r="C22" s="22" t="s">
        <v>191</v>
      </c>
      <c r="D22" s="27" t="s">
        <v>20</v>
      </c>
    </row>
    <row r="23" spans="1:4" ht="15.75">
      <c r="A23" s="11">
        <v>22</v>
      </c>
      <c r="B23" s="8" t="s">
        <v>116</v>
      </c>
      <c r="C23" s="3" t="s">
        <v>117</v>
      </c>
      <c r="D23" s="10" t="s">
        <v>20</v>
      </c>
    </row>
    <row r="24" spans="1:4" ht="15.75">
      <c r="A24" s="11">
        <v>23</v>
      </c>
      <c r="B24" s="8" t="s">
        <v>192</v>
      </c>
      <c r="C24" s="3" t="s">
        <v>193</v>
      </c>
      <c r="D24" s="10" t="s">
        <v>20</v>
      </c>
    </row>
    <row r="25" spans="1:4" s="47" customFormat="1" ht="15.75">
      <c r="A25" s="41">
        <v>24</v>
      </c>
      <c r="B25" s="46" t="s">
        <v>194</v>
      </c>
      <c r="C25" s="43" t="s">
        <v>195</v>
      </c>
      <c r="D25" s="44" t="s">
        <v>20</v>
      </c>
    </row>
    <row r="26" spans="1:4" ht="15.75">
      <c r="A26" s="11">
        <v>25</v>
      </c>
      <c r="B26" s="8" t="s">
        <v>196</v>
      </c>
      <c r="C26" s="3" t="s">
        <v>197</v>
      </c>
      <c r="D26" s="10" t="s">
        <v>20</v>
      </c>
    </row>
    <row r="27" spans="1:4" s="23" customFormat="1" ht="15.75">
      <c r="A27" s="21">
        <v>26</v>
      </c>
      <c r="B27" s="40"/>
      <c r="C27" s="22" t="s">
        <v>229</v>
      </c>
      <c r="D27" s="27" t="s">
        <v>20</v>
      </c>
    </row>
    <row r="28" spans="1:4" ht="15.75">
      <c r="C28" s="24"/>
    </row>
    <row r="29" spans="1:4">
      <c r="C29">
        <f>COUNTA(C2:C28)</f>
        <v>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B0D9-2AFE-4493-93B1-6A497A80B20C}">
  <dimension ref="A1:D18"/>
  <sheetViews>
    <sheetView workbookViewId="0">
      <selection activeCell="C12" sqref="C12"/>
    </sheetView>
  </sheetViews>
  <sheetFormatPr defaultRowHeight="15.75"/>
  <cols>
    <col min="1" max="1" width="4.125" style="14" customWidth="1"/>
    <col min="2" max="2" width="11" style="2" customWidth="1"/>
    <col min="3" max="3" width="34" style="2" customWidth="1"/>
    <col min="4" max="4" width="13.625" style="2" customWidth="1"/>
    <col min="5" max="16384" width="9" style="2"/>
  </cols>
  <sheetData>
    <row r="1" spans="1:4">
      <c r="A1" s="15" t="s">
        <v>0</v>
      </c>
      <c r="B1" s="16" t="s">
        <v>220</v>
      </c>
      <c r="C1" s="16" t="s">
        <v>221</v>
      </c>
      <c r="D1" s="16" t="s">
        <v>222</v>
      </c>
    </row>
    <row r="2" spans="1:4" s="32" customFormat="1">
      <c r="A2" s="21">
        <v>1</v>
      </c>
      <c r="B2" s="25" t="s">
        <v>207</v>
      </c>
      <c r="C2" s="26" t="s">
        <v>1</v>
      </c>
      <c r="D2" s="25" t="s">
        <v>18</v>
      </c>
    </row>
    <row r="3" spans="1:4" s="32" customFormat="1">
      <c r="A3" s="21">
        <v>2</v>
      </c>
      <c r="B3" s="25" t="s">
        <v>17</v>
      </c>
      <c r="C3" s="26" t="s">
        <v>25</v>
      </c>
      <c r="D3" s="25" t="s">
        <v>18</v>
      </c>
    </row>
    <row r="4" spans="1:4" s="32" customFormat="1">
      <c r="A4" s="21">
        <v>3</v>
      </c>
      <c r="B4" s="25" t="s">
        <v>38</v>
      </c>
      <c r="C4" s="26" t="s">
        <v>39</v>
      </c>
      <c r="D4" s="25" t="s">
        <v>18</v>
      </c>
    </row>
    <row r="5" spans="1:4" s="32" customFormat="1">
      <c r="A5" s="21">
        <v>4</v>
      </c>
      <c r="B5" s="25" t="s">
        <v>36</v>
      </c>
      <c r="C5" s="26" t="s">
        <v>37</v>
      </c>
      <c r="D5" s="25" t="s">
        <v>18</v>
      </c>
    </row>
    <row r="6" spans="1:4" s="32" customFormat="1">
      <c r="A6" s="21">
        <v>5</v>
      </c>
      <c r="B6" s="25" t="s">
        <v>61</v>
      </c>
      <c r="C6" s="31" t="s">
        <v>62</v>
      </c>
      <c r="D6" s="27" t="s">
        <v>18</v>
      </c>
    </row>
    <row r="7" spans="1:4">
      <c r="A7" s="11">
        <v>6</v>
      </c>
      <c r="B7" s="4" t="s">
        <v>73</v>
      </c>
      <c r="C7" s="7" t="s">
        <v>74</v>
      </c>
      <c r="D7" s="10" t="s">
        <v>18</v>
      </c>
    </row>
    <row r="8" spans="1:4" s="32" customFormat="1">
      <c r="A8" s="21">
        <v>7</v>
      </c>
      <c r="B8" s="25" t="s">
        <v>75</v>
      </c>
      <c r="C8" s="29" t="s">
        <v>76</v>
      </c>
      <c r="D8" s="27" t="s">
        <v>18</v>
      </c>
    </row>
    <row r="9" spans="1:4" s="32" customFormat="1">
      <c r="A9" s="21">
        <v>8</v>
      </c>
      <c r="B9" s="25" t="s">
        <v>129</v>
      </c>
      <c r="C9" s="22" t="s">
        <v>128</v>
      </c>
      <c r="D9" s="27" t="s">
        <v>18</v>
      </c>
    </row>
    <row r="10" spans="1:4" s="45" customFormat="1">
      <c r="A10" s="41">
        <v>9</v>
      </c>
      <c r="B10" s="42" t="s">
        <v>139</v>
      </c>
      <c r="C10" s="43" t="s">
        <v>138</v>
      </c>
      <c r="D10" s="44" t="s">
        <v>18</v>
      </c>
    </row>
    <row r="11" spans="1:4" s="45" customFormat="1">
      <c r="A11" s="41">
        <v>10</v>
      </c>
      <c r="B11" s="42" t="s">
        <v>137</v>
      </c>
      <c r="C11" s="43" t="s">
        <v>136</v>
      </c>
      <c r="D11" s="44" t="s">
        <v>18</v>
      </c>
    </row>
    <row r="12" spans="1:4" s="45" customFormat="1">
      <c r="A12" s="41">
        <v>11</v>
      </c>
      <c r="B12" s="42" t="s">
        <v>135</v>
      </c>
      <c r="C12" s="43" t="s">
        <v>134</v>
      </c>
      <c r="D12" s="44" t="s">
        <v>18</v>
      </c>
    </row>
    <row r="13" spans="1:4" s="32" customFormat="1">
      <c r="A13" s="21">
        <v>12</v>
      </c>
      <c r="B13" s="25" t="s">
        <v>174</v>
      </c>
      <c r="C13" s="22" t="s">
        <v>175</v>
      </c>
      <c r="D13" s="27" t="s">
        <v>18</v>
      </c>
    </row>
    <row r="14" spans="1:4">
      <c r="A14" s="11">
        <v>13</v>
      </c>
      <c r="B14" s="4"/>
      <c r="C14" s="3" t="s">
        <v>227</v>
      </c>
      <c r="D14" s="10" t="s">
        <v>18</v>
      </c>
    </row>
    <row r="15" spans="1:4" s="32" customFormat="1">
      <c r="A15" s="21">
        <v>14</v>
      </c>
      <c r="B15" s="25"/>
      <c r="C15" s="22" t="s">
        <v>228</v>
      </c>
      <c r="D15" s="27" t="s">
        <v>18</v>
      </c>
    </row>
    <row r="16" spans="1:4">
      <c r="A16" s="20"/>
      <c r="B16" s="18"/>
      <c r="C16" s="24"/>
      <c r="D16" s="19"/>
    </row>
    <row r="18" spans="3:3">
      <c r="C18" s="2">
        <f>COUNTA(C2:C17)</f>
        <v>14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E381-5D80-4979-BF94-E6ABC2A812C5}">
  <dimension ref="B4:D10"/>
  <sheetViews>
    <sheetView tabSelected="1" workbookViewId="0">
      <selection activeCell="C7" sqref="C7"/>
    </sheetView>
  </sheetViews>
  <sheetFormatPr defaultRowHeight="14.25"/>
  <cols>
    <col min="2" max="2" width="9.5" bestFit="1" customWidth="1"/>
    <col min="3" max="3" width="9" style="12"/>
  </cols>
  <sheetData>
    <row r="4" spans="2:4">
      <c r="B4" t="s">
        <v>224</v>
      </c>
      <c r="C4" s="12">
        <f>'MTs Putra'!C49</f>
        <v>46</v>
      </c>
      <c r="D4">
        <f>C4</f>
        <v>46</v>
      </c>
    </row>
    <row r="5" spans="2:4">
      <c r="B5" t="s">
        <v>47</v>
      </c>
      <c r="C5" s="12">
        <f>'MTs Putri'!C30</f>
        <v>26</v>
      </c>
    </row>
    <row r="6" spans="2:4">
      <c r="B6" t="s">
        <v>20</v>
      </c>
      <c r="C6" s="12">
        <f>'IL Putra'!C29</f>
        <v>26</v>
      </c>
      <c r="D6">
        <f t="shared" ref="D5:D9" si="0">C6</f>
        <v>26</v>
      </c>
    </row>
    <row r="7" spans="2:4">
      <c r="B7" t="s">
        <v>18</v>
      </c>
      <c r="C7" s="12">
        <f>'IL Putri'!C18</f>
        <v>14</v>
      </c>
    </row>
    <row r="8" spans="2:4" ht="3" customHeight="1">
      <c r="D8">
        <f t="shared" si="0"/>
        <v>0</v>
      </c>
    </row>
    <row r="9" spans="2:4">
      <c r="B9" t="s">
        <v>223</v>
      </c>
      <c r="C9" s="12">
        <f>SUM(C4:C8)</f>
        <v>112</v>
      </c>
      <c r="D9">
        <f>SUM(D4:D8)</f>
        <v>72</v>
      </c>
    </row>
    <row r="10" spans="2:4">
      <c r="C10" s="12">
        <f>C9*3</f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6D6D-5FE0-4F0C-A662-29486811FF58}">
  <dimension ref="B3:D15"/>
  <sheetViews>
    <sheetView workbookViewId="0">
      <selection activeCell="D18" sqref="D18"/>
    </sheetView>
  </sheetViews>
  <sheetFormatPr defaultRowHeight="14.25"/>
  <cols>
    <col min="2" max="2" width="10.125" bestFit="1" customWidth="1"/>
  </cols>
  <sheetData>
    <row r="3" spans="2:4">
      <c r="B3" t="s">
        <v>230</v>
      </c>
      <c r="C3">
        <v>23</v>
      </c>
    </row>
    <row r="4" spans="2:4">
      <c r="B4" t="s">
        <v>231</v>
      </c>
      <c r="C4">
        <v>24</v>
      </c>
    </row>
    <row r="5" spans="2:4">
      <c r="B5" t="s">
        <v>232</v>
      </c>
      <c r="C5">
        <v>21</v>
      </c>
    </row>
    <row r="6" spans="2:4">
      <c r="B6" t="s">
        <v>233</v>
      </c>
      <c r="C6">
        <v>24</v>
      </c>
    </row>
    <row r="7" spans="2:4">
      <c r="B7" t="s">
        <v>234</v>
      </c>
      <c r="C7">
        <v>13</v>
      </c>
    </row>
    <row r="8" spans="2:4">
      <c r="B8" t="s">
        <v>235</v>
      </c>
      <c r="C8">
        <v>24</v>
      </c>
    </row>
    <row r="9" spans="2:4">
      <c r="B9" t="s">
        <v>236</v>
      </c>
      <c r="C9">
        <v>19</v>
      </c>
    </row>
    <row r="10" spans="2:4">
      <c r="B10" t="s">
        <v>237</v>
      </c>
      <c r="C10">
        <v>17</v>
      </c>
    </row>
    <row r="13" spans="2:4">
      <c r="C13">
        <f>SUM(C3:C12)</f>
        <v>165</v>
      </c>
    </row>
    <row r="14" spans="2:4">
      <c r="C14">
        <f>Jumlah!D9</f>
        <v>72</v>
      </c>
    </row>
    <row r="15" spans="2:4">
      <c r="C15">
        <f>SUM(C13:C14)</f>
        <v>237</v>
      </c>
      <c r="D15">
        <f>C15/15</f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MTs Putra</vt:lpstr>
      <vt:lpstr>MTs Putri</vt:lpstr>
      <vt:lpstr>IL Putra</vt:lpstr>
      <vt:lpstr>IL Putri</vt:lpstr>
      <vt:lpstr>Jumlah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Kepala QA Al Andalus</dc:creator>
  <cp:lastModifiedBy>hp</cp:lastModifiedBy>
  <cp:lastPrinted>2026-04-07T01:21:11Z</cp:lastPrinted>
  <dcterms:created xsi:type="dcterms:W3CDTF">2025-07-24T00:20:05Z</dcterms:created>
  <dcterms:modified xsi:type="dcterms:W3CDTF">2026-06-17T05:13:06Z</dcterms:modified>
</cp:coreProperties>
</file>